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esp-my.sharepoint.com/personal/bruno_vargas_educacao_sp_gov_br/Documents/Serviços Graficos/"/>
    </mc:Choice>
  </mc:AlternateContent>
  <xr:revisionPtr revIDLastSave="15" documentId="13_ncr:1_{B8B0C9EC-7DE9-48AF-8E9C-19AA3F487AFB}" xr6:coauthVersionLast="46" xr6:coauthVersionMax="47" xr10:uidLastSave="{658C26A7-C694-47C9-A11B-9CC7A1421A68}"/>
  <bookViews>
    <workbookView xWindow="-110" yWindow="-110" windowWidth="19420" windowHeight="10420" xr2:uid="{AC9D864F-BF79-4A9C-A70F-E181E0903D94}"/>
  </bookViews>
  <sheets>
    <sheet name="Resumo Contrato Reajustado 2026" sheetId="16" r:id="rId1"/>
    <sheet name="Janeiro" sheetId="4" r:id="rId2"/>
    <sheet name="Fevereiro" sheetId="2" r:id="rId3"/>
    <sheet name="Março" sheetId="5" r:id="rId4"/>
    <sheet name="Abril" sheetId="6" r:id="rId5"/>
    <sheet name="Maio" sheetId="7" r:id="rId6"/>
    <sheet name="Junho" sheetId="8" r:id="rId7"/>
    <sheet name="Consolidação" sheetId="3" r:id="rId8"/>
  </sheets>
  <definedNames>
    <definedName name="_xlnm._FilterDatabase" localSheetId="4" hidden="1">Abril!$J$2:$M$46</definedName>
    <definedName name="_xlnm._FilterDatabase" localSheetId="7" hidden="1">Consolidação!$A$1:$R$43</definedName>
    <definedName name="_xlnm._FilterDatabase" localSheetId="2" hidden="1">Fevereiro!$J$2:$M$2</definedName>
    <definedName name="_xlnm._FilterDatabase" localSheetId="1" hidden="1">Janeiro!$A$1:$H$45</definedName>
    <definedName name="_xlnm._FilterDatabase" localSheetId="5" hidden="1">Maio!$J$2:$M$44</definedName>
    <definedName name="_xlnm._FilterDatabase" localSheetId="3" hidden="1">Março!$J$2:$M$44</definedName>
    <definedName name="_xlnm._FilterDatabase" localSheetId="0" hidden="1">'Resumo Contrato Reajustado 2026'!$A$1:$S$43</definedName>
    <definedName name="_xlnm.Print_Area" localSheetId="0">'Resumo Contrato Reajustado 2026'!$A$1:$P$43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9" i="6" l="1"/>
  <c r="E44" i="6"/>
  <c r="E64" i="6"/>
  <c r="E55" i="6"/>
  <c r="E47" i="6"/>
  <c r="E43" i="6"/>
  <c r="E17" i="6" l="1"/>
  <c r="E13" i="6"/>
  <c r="E41" i="6"/>
  <c r="E32" i="6"/>
  <c r="E10" i="5"/>
  <c r="E90" i="5"/>
  <c r="E87" i="5"/>
  <c r="K21" i="6"/>
  <c r="M21" i="6" s="1"/>
  <c r="K22" i="6"/>
  <c r="M22" i="6" s="1"/>
  <c r="K23" i="6"/>
  <c r="M23" i="6" s="1"/>
  <c r="K24" i="6"/>
  <c r="M24" i="6" s="1"/>
  <c r="K25" i="6"/>
  <c r="M25" i="6" s="1"/>
  <c r="K26" i="6"/>
  <c r="M26" i="6" s="1"/>
  <c r="K27" i="6"/>
  <c r="M27" i="6" s="1"/>
  <c r="K28" i="6"/>
  <c r="M28" i="6" s="1"/>
  <c r="K29" i="6"/>
  <c r="M29" i="6" s="1"/>
  <c r="E2" i="6"/>
  <c r="E86" i="5"/>
  <c r="E83" i="5"/>
  <c r="E82" i="5"/>
  <c r="E75" i="5"/>
  <c r="E72" i="5"/>
  <c r="K24" i="2"/>
  <c r="M24" i="2" s="1"/>
  <c r="K28" i="2"/>
  <c r="M28" i="2" s="1"/>
  <c r="H15" i="4"/>
  <c r="G15" i="4"/>
  <c r="E69" i="5"/>
  <c r="E68" i="5"/>
  <c r="E57" i="5"/>
  <c r="E66" i="5"/>
  <c r="E61" i="5"/>
  <c r="E56" i="5"/>
  <c r="E53" i="5"/>
  <c r="E45" i="5"/>
  <c r="E44" i="5"/>
  <c r="E43" i="5"/>
  <c r="E42" i="5"/>
  <c r="E41" i="5"/>
  <c r="E40" i="5"/>
  <c r="E37" i="5"/>
  <c r="E34" i="5"/>
  <c r="E35" i="5"/>
  <c r="E36" i="5"/>
  <c r="E32" i="5"/>
  <c r="E33" i="5"/>
  <c r="E31" i="5"/>
  <c r="E30" i="5"/>
  <c r="E29" i="5"/>
  <c r="E28" i="5"/>
  <c r="E27" i="5"/>
  <c r="E26" i="5"/>
  <c r="E25" i="5"/>
  <c r="E24" i="5"/>
  <c r="E34" i="4"/>
  <c r="I50" i="2"/>
  <c r="E23" i="5"/>
  <c r="E22" i="5"/>
  <c r="E21" i="5"/>
  <c r="E20" i="5"/>
  <c r="E52" i="5"/>
  <c r="E51" i="5"/>
  <c r="E17" i="5"/>
  <c r="E16" i="5"/>
  <c r="E14" i="5"/>
  <c r="E12" i="5"/>
  <c r="E11" i="5"/>
  <c r="E8" i="5"/>
  <c r="E7" i="5"/>
  <c r="E6" i="5"/>
  <c r="E5" i="5"/>
  <c r="E4" i="5"/>
  <c r="G21" i="4"/>
  <c r="H44" i="2" l="1"/>
  <c r="G44" i="2"/>
  <c r="H29" i="4"/>
  <c r="G29" i="4"/>
  <c r="G43" i="2"/>
  <c r="H43" i="2"/>
  <c r="G22" i="4"/>
  <c r="G23" i="4"/>
  <c r="G24" i="4"/>
  <c r="G25" i="4"/>
  <c r="G26" i="4"/>
  <c r="G27" i="4"/>
  <c r="G28" i="4"/>
  <c r="G30" i="4"/>
  <c r="G31" i="4"/>
  <c r="G32" i="4"/>
  <c r="G33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2" i="3"/>
  <c r="K44" i="8"/>
  <c r="M44" i="8" s="1"/>
  <c r="K43" i="8"/>
  <c r="M43" i="8" s="1"/>
  <c r="K42" i="8"/>
  <c r="M42" i="8" s="1"/>
  <c r="K41" i="8"/>
  <c r="M41" i="8" s="1"/>
  <c r="K40" i="8"/>
  <c r="M40" i="8" s="1"/>
  <c r="K39" i="8"/>
  <c r="M39" i="8" s="1"/>
  <c r="R38" i="8"/>
  <c r="K38" i="8"/>
  <c r="M38" i="8" s="1"/>
  <c r="R37" i="8"/>
  <c r="K37" i="8"/>
  <c r="M37" i="8" s="1"/>
  <c r="R36" i="8"/>
  <c r="K36" i="8"/>
  <c r="M36" i="8" s="1"/>
  <c r="K35" i="8"/>
  <c r="M35" i="8" s="1"/>
  <c r="R34" i="8"/>
  <c r="K34" i="8"/>
  <c r="M34" i="8" s="1"/>
  <c r="K33" i="8"/>
  <c r="M33" i="8" s="1"/>
  <c r="K32" i="8"/>
  <c r="M32" i="8" s="1"/>
  <c r="K31" i="8"/>
  <c r="M31" i="8" s="1"/>
  <c r="K30" i="8"/>
  <c r="M30" i="8" s="1"/>
  <c r="K29" i="8"/>
  <c r="M29" i="8" s="1"/>
  <c r="K28" i="8"/>
  <c r="M28" i="8" s="1"/>
  <c r="K27" i="8"/>
  <c r="M27" i="8" s="1"/>
  <c r="K26" i="8"/>
  <c r="M26" i="8" s="1"/>
  <c r="K25" i="8"/>
  <c r="M25" i="8" s="1"/>
  <c r="K24" i="8"/>
  <c r="M24" i="8" s="1"/>
  <c r="K23" i="8"/>
  <c r="M23" i="8" s="1"/>
  <c r="K22" i="8"/>
  <c r="M22" i="8" s="1"/>
  <c r="K21" i="8"/>
  <c r="M21" i="8" s="1"/>
  <c r="K20" i="8"/>
  <c r="M20" i="8" s="1"/>
  <c r="K19" i="8"/>
  <c r="M19" i="8" s="1"/>
  <c r="K18" i="8"/>
  <c r="M18" i="8" s="1"/>
  <c r="K17" i="8"/>
  <c r="M17" i="8" s="1"/>
  <c r="K16" i="8"/>
  <c r="M16" i="8" s="1"/>
  <c r="K15" i="8"/>
  <c r="M15" i="8" s="1"/>
  <c r="K14" i="8"/>
  <c r="M14" i="8" s="1"/>
  <c r="K13" i="8"/>
  <c r="M13" i="8" s="1"/>
  <c r="K12" i="8"/>
  <c r="M12" i="8" s="1"/>
  <c r="K11" i="8"/>
  <c r="M11" i="8" s="1"/>
  <c r="K10" i="8"/>
  <c r="M10" i="8" s="1"/>
  <c r="K9" i="8"/>
  <c r="M9" i="8" s="1"/>
  <c r="K8" i="8"/>
  <c r="M8" i="8" s="1"/>
  <c r="K7" i="8"/>
  <c r="M7" i="8" s="1"/>
  <c r="K6" i="8"/>
  <c r="M6" i="8" s="1"/>
  <c r="K5" i="8"/>
  <c r="M5" i="8" s="1"/>
  <c r="K4" i="8"/>
  <c r="M4" i="8" s="1"/>
  <c r="K3" i="8"/>
  <c r="M3" i="8" s="1"/>
  <c r="H3" i="8"/>
  <c r="G3" i="8"/>
  <c r="G2" i="8"/>
  <c r="H2" i="8" s="1"/>
  <c r="K44" i="7"/>
  <c r="M44" i="7" s="1"/>
  <c r="K43" i="7"/>
  <c r="M43" i="7" s="1"/>
  <c r="K42" i="7"/>
  <c r="M42" i="7" s="1"/>
  <c r="K41" i="7"/>
  <c r="M41" i="7" s="1"/>
  <c r="K40" i="7"/>
  <c r="M40" i="7" s="1"/>
  <c r="K39" i="7"/>
  <c r="M39" i="7" s="1"/>
  <c r="R38" i="7"/>
  <c r="K38" i="7"/>
  <c r="M38" i="7" s="1"/>
  <c r="R37" i="7"/>
  <c r="K37" i="7"/>
  <c r="M37" i="7" s="1"/>
  <c r="R36" i="7"/>
  <c r="M36" i="7"/>
  <c r="K36" i="7"/>
  <c r="K35" i="7"/>
  <c r="M35" i="7" s="1"/>
  <c r="R34" i="7"/>
  <c r="K34" i="7"/>
  <c r="M34" i="7" s="1"/>
  <c r="K33" i="7"/>
  <c r="M33" i="7" s="1"/>
  <c r="K32" i="7"/>
  <c r="M32" i="7" s="1"/>
  <c r="K31" i="7"/>
  <c r="M31" i="7" s="1"/>
  <c r="K30" i="7"/>
  <c r="M30" i="7" s="1"/>
  <c r="K29" i="7"/>
  <c r="M29" i="7" s="1"/>
  <c r="K28" i="7"/>
  <c r="M28" i="7" s="1"/>
  <c r="K27" i="7"/>
  <c r="M27" i="7" s="1"/>
  <c r="K26" i="7"/>
  <c r="M26" i="7" s="1"/>
  <c r="K25" i="7"/>
  <c r="M25" i="7" s="1"/>
  <c r="K24" i="7"/>
  <c r="M24" i="7" s="1"/>
  <c r="K23" i="7"/>
  <c r="M23" i="7" s="1"/>
  <c r="K22" i="7"/>
  <c r="M22" i="7" s="1"/>
  <c r="K21" i="7"/>
  <c r="M21" i="7" s="1"/>
  <c r="K20" i="7"/>
  <c r="M20" i="7" s="1"/>
  <c r="K19" i="7"/>
  <c r="M19" i="7" s="1"/>
  <c r="K18" i="7"/>
  <c r="M18" i="7" s="1"/>
  <c r="K17" i="7"/>
  <c r="M17" i="7" s="1"/>
  <c r="K16" i="7"/>
  <c r="M16" i="7" s="1"/>
  <c r="K15" i="7"/>
  <c r="M15" i="7" s="1"/>
  <c r="K14" i="7"/>
  <c r="M14" i="7" s="1"/>
  <c r="K13" i="7"/>
  <c r="M13" i="7" s="1"/>
  <c r="K12" i="7"/>
  <c r="M12" i="7" s="1"/>
  <c r="K11" i="7"/>
  <c r="M11" i="7" s="1"/>
  <c r="K10" i="7"/>
  <c r="M10" i="7" s="1"/>
  <c r="K9" i="7"/>
  <c r="M9" i="7" s="1"/>
  <c r="K8" i="7"/>
  <c r="M8" i="7" s="1"/>
  <c r="K7" i="7"/>
  <c r="M7" i="7" s="1"/>
  <c r="K6" i="7"/>
  <c r="M6" i="7" s="1"/>
  <c r="K5" i="7"/>
  <c r="M5" i="7" s="1"/>
  <c r="K4" i="7"/>
  <c r="M4" i="7" s="1"/>
  <c r="K3" i="7"/>
  <c r="M3" i="7" s="1"/>
  <c r="H3" i="7"/>
  <c r="G3" i="7"/>
  <c r="H2" i="7"/>
  <c r="G2" i="7"/>
  <c r="K46" i="6"/>
  <c r="M46" i="6" s="1"/>
  <c r="K45" i="6"/>
  <c r="M45" i="6" s="1"/>
  <c r="K41" i="6"/>
  <c r="M41" i="6" s="1"/>
  <c r="K40" i="6"/>
  <c r="M40" i="6" s="1"/>
  <c r="K39" i="6"/>
  <c r="M39" i="6" s="1"/>
  <c r="R38" i="6"/>
  <c r="K38" i="6"/>
  <c r="M38" i="6" s="1"/>
  <c r="R37" i="6"/>
  <c r="K37" i="6"/>
  <c r="M37" i="6" s="1"/>
  <c r="R36" i="6"/>
  <c r="K36" i="6"/>
  <c r="M36" i="6" s="1"/>
  <c r="K35" i="6"/>
  <c r="M35" i="6" s="1"/>
  <c r="R34" i="6"/>
  <c r="K34" i="6"/>
  <c r="M34" i="6" s="1"/>
  <c r="K33" i="6"/>
  <c r="M33" i="6" s="1"/>
  <c r="K32" i="6"/>
  <c r="M32" i="6" s="1"/>
  <c r="K31" i="6"/>
  <c r="M31" i="6" s="1"/>
  <c r="K30" i="6"/>
  <c r="M30" i="6" s="1"/>
  <c r="K20" i="6"/>
  <c r="M20" i="6" s="1"/>
  <c r="K19" i="6"/>
  <c r="M19" i="6" s="1"/>
  <c r="K18" i="6"/>
  <c r="M18" i="6" s="1"/>
  <c r="K17" i="6"/>
  <c r="M17" i="6" s="1"/>
  <c r="K16" i="6"/>
  <c r="M16" i="6" s="1"/>
  <c r="K15" i="6"/>
  <c r="M15" i="6" s="1"/>
  <c r="K14" i="6"/>
  <c r="M14" i="6" s="1"/>
  <c r="K13" i="6"/>
  <c r="M13" i="6" s="1"/>
  <c r="K12" i="6"/>
  <c r="M12" i="6" s="1"/>
  <c r="K11" i="6"/>
  <c r="M11" i="6" s="1"/>
  <c r="K10" i="6"/>
  <c r="M10" i="6" s="1"/>
  <c r="K9" i="6"/>
  <c r="M9" i="6" s="1"/>
  <c r="K8" i="6"/>
  <c r="M8" i="6" s="1"/>
  <c r="K7" i="6"/>
  <c r="M7" i="6" s="1"/>
  <c r="K6" i="6"/>
  <c r="M6" i="6" s="1"/>
  <c r="K5" i="6"/>
  <c r="M5" i="6" s="1"/>
  <c r="K4" i="6"/>
  <c r="M4" i="6" s="1"/>
  <c r="K3" i="6"/>
  <c r="M3" i="6" s="1"/>
  <c r="H2" i="6"/>
  <c r="G2" i="6"/>
  <c r="K44" i="5"/>
  <c r="M44" i="5" s="1"/>
  <c r="K43" i="5"/>
  <c r="M43" i="5" s="1"/>
  <c r="K42" i="5"/>
  <c r="M42" i="5" s="1"/>
  <c r="K41" i="5"/>
  <c r="M41" i="5" s="1"/>
  <c r="K40" i="5"/>
  <c r="M40" i="5" s="1"/>
  <c r="K39" i="5"/>
  <c r="M39" i="5" s="1"/>
  <c r="R38" i="5"/>
  <c r="K38" i="5"/>
  <c r="M38" i="5" s="1"/>
  <c r="R37" i="5"/>
  <c r="K37" i="5"/>
  <c r="M37" i="5" s="1"/>
  <c r="R36" i="5"/>
  <c r="K36" i="5"/>
  <c r="M36" i="5" s="1"/>
  <c r="K35" i="5"/>
  <c r="M35" i="5" s="1"/>
  <c r="R34" i="5"/>
  <c r="K34" i="5"/>
  <c r="M34" i="5" s="1"/>
  <c r="K33" i="5"/>
  <c r="M33" i="5" s="1"/>
  <c r="K32" i="5"/>
  <c r="M32" i="5" s="1"/>
  <c r="K31" i="5"/>
  <c r="M31" i="5" s="1"/>
  <c r="K30" i="5"/>
  <c r="M30" i="5" s="1"/>
  <c r="K29" i="5"/>
  <c r="M29" i="5" s="1"/>
  <c r="K28" i="5"/>
  <c r="M28" i="5" s="1"/>
  <c r="K27" i="5"/>
  <c r="M27" i="5" s="1"/>
  <c r="K26" i="5"/>
  <c r="M26" i="5" s="1"/>
  <c r="K25" i="5"/>
  <c r="M25" i="5" s="1"/>
  <c r="K24" i="5"/>
  <c r="M24" i="5" s="1"/>
  <c r="K23" i="5"/>
  <c r="M23" i="5" s="1"/>
  <c r="K22" i="5"/>
  <c r="M22" i="5" s="1"/>
  <c r="K21" i="5"/>
  <c r="M21" i="5" s="1"/>
  <c r="K20" i="5"/>
  <c r="M20" i="5" s="1"/>
  <c r="K19" i="5"/>
  <c r="M19" i="5" s="1"/>
  <c r="K18" i="5"/>
  <c r="M18" i="5" s="1"/>
  <c r="K17" i="5"/>
  <c r="M17" i="5" s="1"/>
  <c r="K16" i="5"/>
  <c r="M16" i="5" s="1"/>
  <c r="K15" i="5"/>
  <c r="M15" i="5" s="1"/>
  <c r="K14" i="5"/>
  <c r="M14" i="5" s="1"/>
  <c r="K13" i="5"/>
  <c r="M13" i="5" s="1"/>
  <c r="K12" i="5"/>
  <c r="M12" i="5" s="1"/>
  <c r="K11" i="5"/>
  <c r="M11" i="5" s="1"/>
  <c r="K10" i="5"/>
  <c r="M10" i="5" s="1"/>
  <c r="K9" i="5"/>
  <c r="M9" i="5" s="1"/>
  <c r="K8" i="5"/>
  <c r="M8" i="5" s="1"/>
  <c r="K7" i="5"/>
  <c r="M7" i="5" s="1"/>
  <c r="K6" i="5"/>
  <c r="M6" i="5" s="1"/>
  <c r="K5" i="5"/>
  <c r="M5" i="5" s="1"/>
  <c r="K4" i="5"/>
  <c r="M4" i="5" s="1"/>
  <c r="K3" i="5"/>
  <c r="M3" i="5" s="1"/>
  <c r="H3" i="5"/>
  <c r="G3" i="5"/>
  <c r="H2" i="5"/>
  <c r="G2" i="5"/>
  <c r="K44" i="2"/>
  <c r="M44" i="2" s="1"/>
  <c r="K43" i="2"/>
  <c r="M43" i="2" s="1"/>
  <c r="K42" i="2"/>
  <c r="M42" i="2" s="1"/>
  <c r="K41" i="2"/>
  <c r="M41" i="2" s="1"/>
  <c r="K40" i="2"/>
  <c r="M40" i="2" s="1"/>
  <c r="K39" i="2"/>
  <c r="M39" i="2" s="1"/>
  <c r="R38" i="2"/>
  <c r="K38" i="2"/>
  <c r="M38" i="2" s="1"/>
  <c r="R37" i="2"/>
  <c r="K37" i="2"/>
  <c r="M37" i="2" s="1"/>
  <c r="R36" i="2"/>
  <c r="K36" i="2"/>
  <c r="M36" i="2" s="1"/>
  <c r="K35" i="2"/>
  <c r="M35" i="2" s="1"/>
  <c r="R34" i="2"/>
  <c r="K34" i="2"/>
  <c r="M34" i="2" s="1"/>
  <c r="K33" i="2"/>
  <c r="M33" i="2" s="1"/>
  <c r="K32" i="2"/>
  <c r="M32" i="2" s="1"/>
  <c r="K31" i="2"/>
  <c r="M31" i="2" s="1"/>
  <c r="K30" i="2"/>
  <c r="M30" i="2" s="1"/>
  <c r="K29" i="2"/>
  <c r="M29" i="2" s="1"/>
  <c r="K27" i="2"/>
  <c r="M27" i="2" s="1"/>
  <c r="K26" i="2"/>
  <c r="M26" i="2" s="1"/>
  <c r="K25" i="2"/>
  <c r="M25" i="2" s="1"/>
  <c r="K23" i="2"/>
  <c r="M23" i="2" s="1"/>
  <c r="K22" i="2"/>
  <c r="M22" i="2" s="1"/>
  <c r="K21" i="2"/>
  <c r="M21" i="2" s="1"/>
  <c r="K20" i="2"/>
  <c r="M20" i="2" s="1"/>
  <c r="K19" i="2"/>
  <c r="M19" i="2" s="1"/>
  <c r="K18" i="2"/>
  <c r="M18" i="2" s="1"/>
  <c r="K17" i="2"/>
  <c r="M17" i="2" s="1"/>
  <c r="K16" i="2"/>
  <c r="M16" i="2" s="1"/>
  <c r="K15" i="2"/>
  <c r="M15" i="2" s="1"/>
  <c r="K14" i="2"/>
  <c r="M14" i="2" s="1"/>
  <c r="K13" i="2"/>
  <c r="M13" i="2" s="1"/>
  <c r="K12" i="2"/>
  <c r="M12" i="2" s="1"/>
  <c r="K11" i="2"/>
  <c r="M11" i="2" s="1"/>
  <c r="K10" i="2"/>
  <c r="M10" i="2" s="1"/>
  <c r="K9" i="2"/>
  <c r="M9" i="2" s="1"/>
  <c r="K8" i="2"/>
  <c r="M8" i="2" s="1"/>
  <c r="K7" i="2"/>
  <c r="M7" i="2" s="1"/>
  <c r="K6" i="2"/>
  <c r="M6" i="2" s="1"/>
  <c r="K5" i="2"/>
  <c r="M5" i="2" s="1"/>
  <c r="K4" i="2"/>
  <c r="M4" i="2" s="1"/>
  <c r="K3" i="2"/>
  <c r="M3" i="2" s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N13" i="3" l="1"/>
  <c r="Q13" i="3" s="1"/>
  <c r="P2" i="8"/>
  <c r="P2" i="6"/>
  <c r="P2" i="7"/>
  <c r="P2" i="5"/>
  <c r="N43" i="3"/>
  <c r="Q43" i="3" s="1"/>
  <c r="N37" i="3"/>
  <c r="Q37" i="3" s="1"/>
  <c r="N42" i="3"/>
  <c r="Q42" i="3" s="1"/>
  <c r="N16" i="3"/>
  <c r="Q16" i="3" s="1"/>
  <c r="N32" i="3"/>
  <c r="Q32" i="3" s="1"/>
  <c r="N6" i="3"/>
  <c r="Q6" i="3" s="1"/>
  <c r="N14" i="3"/>
  <c r="Q14" i="3" s="1"/>
  <c r="N20" i="3"/>
  <c r="Q20" i="3" s="1"/>
  <c r="N35" i="3"/>
  <c r="Q35" i="3" s="1"/>
  <c r="N28" i="3"/>
  <c r="Q28" i="3" s="1"/>
  <c r="N40" i="3"/>
  <c r="Q40" i="3" s="1"/>
  <c r="N19" i="3"/>
  <c r="Q19" i="3" s="1"/>
  <c r="N34" i="3"/>
  <c r="Q34" i="3" s="1"/>
  <c r="N27" i="3"/>
  <c r="Q27" i="3" s="1"/>
  <c r="N39" i="3"/>
  <c r="Q39" i="3" s="1"/>
  <c r="N15" i="3"/>
  <c r="Q15" i="3" s="1"/>
  <c r="N7" i="3"/>
  <c r="Q7" i="3" s="1"/>
  <c r="N38" i="3"/>
  <c r="Q38" i="3" s="1"/>
  <c r="N11" i="3"/>
  <c r="Q11" i="3" s="1"/>
  <c r="N10" i="3"/>
  <c r="Q10" i="3" s="1"/>
  <c r="N26" i="3"/>
  <c r="Q26" i="3" s="1"/>
  <c r="N18" i="3"/>
  <c r="Q18" i="3" s="1"/>
  <c r="N33" i="3"/>
  <c r="Q33" i="3" s="1"/>
  <c r="N25" i="3"/>
  <c r="Q25" i="3" s="1"/>
  <c r="N22" i="3"/>
  <c r="Q22" i="3" s="1"/>
  <c r="N29" i="3"/>
  <c r="Q29" i="3" s="1"/>
  <c r="N3" i="3"/>
  <c r="Q3" i="3" s="1"/>
  <c r="N41" i="3"/>
  <c r="Q41" i="3" s="1"/>
  <c r="N9" i="3"/>
  <c r="Q9" i="3" s="1"/>
  <c r="N17" i="3"/>
  <c r="Q17" i="3" s="1"/>
  <c r="N24" i="3"/>
  <c r="Q24" i="3" s="1"/>
  <c r="N8" i="3"/>
  <c r="Q8" i="3" s="1"/>
  <c r="N31" i="3"/>
  <c r="Q31" i="3" s="1"/>
  <c r="N23" i="3"/>
  <c r="Q23" i="3" s="1"/>
  <c r="N21" i="3"/>
  <c r="Q21" i="3" s="1"/>
  <c r="N5" i="3"/>
  <c r="Q5" i="3" s="1"/>
  <c r="N30" i="3"/>
  <c r="Q30" i="3" s="1"/>
  <c r="N36" i="3"/>
  <c r="Q36" i="3" s="1"/>
  <c r="N12" i="3"/>
  <c r="Q12" i="3" s="1"/>
  <c r="N4" i="3"/>
  <c r="Q4" i="3" s="1"/>
  <c r="M43" i="3" l="1"/>
  <c r="E43" i="3"/>
  <c r="G43" i="3" s="1"/>
  <c r="I43" i="3" s="1"/>
  <c r="M42" i="3"/>
  <c r="E42" i="3"/>
  <c r="G42" i="3" s="1"/>
  <c r="I42" i="3" s="1"/>
  <c r="M41" i="3"/>
  <c r="E41" i="3"/>
  <c r="G41" i="3" s="1"/>
  <c r="I41" i="3" s="1"/>
  <c r="M40" i="3"/>
  <c r="E40" i="3"/>
  <c r="G40" i="3" s="1"/>
  <c r="I40" i="3" s="1"/>
  <c r="M39" i="3"/>
  <c r="E39" i="3"/>
  <c r="G39" i="3" s="1"/>
  <c r="I39" i="3" s="1"/>
  <c r="M38" i="3"/>
  <c r="E38" i="3"/>
  <c r="G38" i="3" s="1"/>
  <c r="I38" i="3" s="1"/>
  <c r="M37" i="3"/>
  <c r="E37" i="3"/>
  <c r="G37" i="3" s="1"/>
  <c r="I37" i="3" s="1"/>
  <c r="M36" i="3"/>
  <c r="E36" i="3"/>
  <c r="G36" i="3" s="1"/>
  <c r="I36" i="3" s="1"/>
  <c r="M35" i="3"/>
  <c r="E35" i="3"/>
  <c r="G35" i="3" s="1"/>
  <c r="I35" i="3" s="1"/>
  <c r="M34" i="3"/>
  <c r="E34" i="3"/>
  <c r="G34" i="3" s="1"/>
  <c r="I34" i="3" s="1"/>
  <c r="M33" i="3"/>
  <c r="E33" i="3"/>
  <c r="G33" i="3" s="1"/>
  <c r="I33" i="3" s="1"/>
  <c r="M32" i="3"/>
  <c r="E32" i="3"/>
  <c r="G32" i="3" s="1"/>
  <c r="I32" i="3" s="1"/>
  <c r="M31" i="3"/>
  <c r="E31" i="3"/>
  <c r="G31" i="3" s="1"/>
  <c r="I31" i="3" s="1"/>
  <c r="M30" i="3"/>
  <c r="E30" i="3"/>
  <c r="G30" i="3" s="1"/>
  <c r="I30" i="3" s="1"/>
  <c r="M29" i="3"/>
  <c r="E29" i="3"/>
  <c r="G29" i="3" s="1"/>
  <c r="I29" i="3" s="1"/>
  <c r="M28" i="3"/>
  <c r="E28" i="3"/>
  <c r="G28" i="3" s="1"/>
  <c r="I28" i="3" s="1"/>
  <c r="M27" i="3"/>
  <c r="G27" i="3"/>
  <c r="I27" i="3" s="1"/>
  <c r="E27" i="3"/>
  <c r="M26" i="3"/>
  <c r="E26" i="3"/>
  <c r="G26" i="3" s="1"/>
  <c r="I26" i="3" s="1"/>
  <c r="M25" i="3"/>
  <c r="E25" i="3"/>
  <c r="G25" i="3" s="1"/>
  <c r="I25" i="3" s="1"/>
  <c r="M24" i="3"/>
  <c r="G24" i="3"/>
  <c r="I24" i="3" s="1"/>
  <c r="E24" i="3"/>
  <c r="M23" i="3"/>
  <c r="E23" i="3"/>
  <c r="G23" i="3" s="1"/>
  <c r="I23" i="3" s="1"/>
  <c r="M22" i="3"/>
  <c r="E22" i="3"/>
  <c r="G22" i="3" s="1"/>
  <c r="I22" i="3" s="1"/>
  <c r="M21" i="3"/>
  <c r="G21" i="3"/>
  <c r="I21" i="3" s="1"/>
  <c r="E21" i="3"/>
  <c r="M20" i="3"/>
  <c r="E20" i="3"/>
  <c r="G20" i="3" s="1"/>
  <c r="I20" i="3" s="1"/>
  <c r="M19" i="3"/>
  <c r="E19" i="3"/>
  <c r="G19" i="3" s="1"/>
  <c r="I19" i="3" s="1"/>
  <c r="M18" i="3"/>
  <c r="E18" i="3"/>
  <c r="G18" i="3" s="1"/>
  <c r="I18" i="3" s="1"/>
  <c r="M17" i="3"/>
  <c r="E17" i="3"/>
  <c r="G17" i="3" s="1"/>
  <c r="I17" i="3" s="1"/>
  <c r="M16" i="3"/>
  <c r="E16" i="3"/>
  <c r="G16" i="3" s="1"/>
  <c r="I16" i="3" s="1"/>
  <c r="M15" i="3"/>
  <c r="E15" i="3"/>
  <c r="G15" i="3" s="1"/>
  <c r="I15" i="3" s="1"/>
  <c r="M14" i="3"/>
  <c r="E14" i="3"/>
  <c r="G14" i="3" s="1"/>
  <c r="I14" i="3" s="1"/>
  <c r="M13" i="3"/>
  <c r="E13" i="3"/>
  <c r="G13" i="3" s="1"/>
  <c r="I13" i="3" s="1"/>
  <c r="M12" i="3"/>
  <c r="E12" i="3"/>
  <c r="G12" i="3" s="1"/>
  <c r="I12" i="3" s="1"/>
  <c r="M11" i="3"/>
  <c r="E11" i="3"/>
  <c r="G11" i="3" s="1"/>
  <c r="I11" i="3" s="1"/>
  <c r="M10" i="3"/>
  <c r="E10" i="3"/>
  <c r="G10" i="3" s="1"/>
  <c r="I10" i="3" s="1"/>
  <c r="M9" i="3"/>
  <c r="E9" i="3"/>
  <c r="G9" i="3" s="1"/>
  <c r="I9" i="3" s="1"/>
  <c r="M8" i="3"/>
  <c r="E8" i="3"/>
  <c r="G8" i="3" s="1"/>
  <c r="I8" i="3" s="1"/>
  <c r="M7" i="3"/>
  <c r="E7" i="3"/>
  <c r="G7" i="3" s="1"/>
  <c r="I7" i="3" s="1"/>
  <c r="M6" i="3"/>
  <c r="E6" i="3"/>
  <c r="G6" i="3" s="1"/>
  <c r="I6" i="3" s="1"/>
  <c r="M5" i="3"/>
  <c r="E5" i="3"/>
  <c r="G5" i="3" s="1"/>
  <c r="I5" i="3" s="1"/>
  <c r="M4" i="3"/>
  <c r="E4" i="3"/>
  <c r="G4" i="3" s="1"/>
  <c r="I4" i="3" s="1"/>
  <c r="M3" i="3"/>
  <c r="G3" i="3"/>
  <c r="I3" i="3" s="1"/>
  <c r="E3" i="3"/>
  <c r="M2" i="3"/>
  <c r="P2" i="3" s="1"/>
  <c r="E2" i="3"/>
  <c r="G2" i="3" s="1"/>
  <c r="I2" i="3" s="1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K3" i="4"/>
  <c r="I43" i="16"/>
  <c r="L43" i="16" s="1"/>
  <c r="O43" i="16" s="1"/>
  <c r="R43" i="16" s="1"/>
  <c r="S43" i="16" s="1"/>
  <c r="G43" i="16"/>
  <c r="I42" i="16"/>
  <c r="L42" i="16" s="1"/>
  <c r="G42" i="16"/>
  <c r="I41" i="16"/>
  <c r="L41" i="16" s="1"/>
  <c r="O41" i="16" s="1"/>
  <c r="R41" i="16" s="1"/>
  <c r="G25" i="2" s="1"/>
  <c r="H25" i="2" s="1"/>
  <c r="G41" i="16"/>
  <c r="I40" i="16"/>
  <c r="J40" i="16" s="1"/>
  <c r="G40" i="16"/>
  <c r="I39" i="16"/>
  <c r="L39" i="16" s="1"/>
  <c r="O39" i="16" s="1"/>
  <c r="R39" i="16" s="1"/>
  <c r="G39" i="16"/>
  <c r="I38" i="16"/>
  <c r="G38" i="16"/>
  <c r="I37" i="16"/>
  <c r="L37" i="16" s="1"/>
  <c r="G37" i="16"/>
  <c r="I36" i="16"/>
  <c r="L36" i="16" s="1"/>
  <c r="G36" i="16"/>
  <c r="I35" i="16"/>
  <c r="L35" i="16" s="1"/>
  <c r="G35" i="16"/>
  <c r="I34" i="16"/>
  <c r="J34" i="16" s="1"/>
  <c r="G34" i="16"/>
  <c r="I33" i="16"/>
  <c r="L33" i="16" s="1"/>
  <c r="O33" i="16" s="1"/>
  <c r="R33" i="16" s="1"/>
  <c r="G18" i="2" s="1"/>
  <c r="H18" i="2" s="1"/>
  <c r="G33" i="16"/>
  <c r="I32" i="16"/>
  <c r="J32" i="16" s="1"/>
  <c r="G32" i="16"/>
  <c r="I31" i="16"/>
  <c r="L31" i="16" s="1"/>
  <c r="O31" i="16" s="1"/>
  <c r="R31" i="16" s="1"/>
  <c r="G16" i="2" s="1"/>
  <c r="H16" i="2" s="1"/>
  <c r="G31" i="16"/>
  <c r="I30" i="16"/>
  <c r="G30" i="16"/>
  <c r="I29" i="16"/>
  <c r="L29" i="16" s="1"/>
  <c r="G29" i="16"/>
  <c r="I28" i="16"/>
  <c r="L28" i="16" s="1"/>
  <c r="G28" i="16"/>
  <c r="I27" i="16"/>
  <c r="L27" i="16" s="1"/>
  <c r="G27" i="16"/>
  <c r="I26" i="16"/>
  <c r="L26" i="16" s="1"/>
  <c r="G26" i="16"/>
  <c r="I25" i="16"/>
  <c r="L25" i="16" s="1"/>
  <c r="O25" i="16" s="1"/>
  <c r="R25" i="16" s="1"/>
  <c r="S25" i="16" s="1"/>
  <c r="G25" i="16"/>
  <c r="I24" i="16"/>
  <c r="J24" i="16" s="1"/>
  <c r="G24" i="16"/>
  <c r="I23" i="16"/>
  <c r="L23" i="16" s="1"/>
  <c r="O23" i="16" s="1"/>
  <c r="R23" i="16" s="1"/>
  <c r="S23" i="16" s="1"/>
  <c r="G23" i="16"/>
  <c r="I22" i="16"/>
  <c r="G22" i="16"/>
  <c r="I21" i="16"/>
  <c r="L21" i="16" s="1"/>
  <c r="G21" i="16"/>
  <c r="I20" i="16"/>
  <c r="L20" i="16" s="1"/>
  <c r="G20" i="16"/>
  <c r="I19" i="16"/>
  <c r="L19" i="16" s="1"/>
  <c r="G19" i="16"/>
  <c r="I18" i="16"/>
  <c r="L18" i="16" s="1"/>
  <c r="G18" i="16"/>
  <c r="I17" i="16"/>
  <c r="L17" i="16" s="1"/>
  <c r="O17" i="16" s="1"/>
  <c r="R17" i="16" s="1"/>
  <c r="G17" i="16"/>
  <c r="I16" i="16"/>
  <c r="J16" i="16" s="1"/>
  <c r="G16" i="16"/>
  <c r="I15" i="16"/>
  <c r="L15" i="16" s="1"/>
  <c r="O15" i="16" s="1"/>
  <c r="R15" i="16" s="1"/>
  <c r="G15" i="16"/>
  <c r="I14" i="16"/>
  <c r="G14" i="16"/>
  <c r="I13" i="16"/>
  <c r="L13" i="16" s="1"/>
  <c r="G13" i="16"/>
  <c r="I12" i="16"/>
  <c r="L12" i="16" s="1"/>
  <c r="G12" i="16"/>
  <c r="I11" i="16"/>
  <c r="J11" i="16" s="1"/>
  <c r="G11" i="16"/>
  <c r="I10" i="16"/>
  <c r="L10" i="16" s="1"/>
  <c r="G10" i="16"/>
  <c r="I9" i="16"/>
  <c r="L9" i="16" s="1"/>
  <c r="O9" i="16" s="1"/>
  <c r="R9" i="16" s="1"/>
  <c r="G9" i="16"/>
  <c r="I8" i="16"/>
  <c r="J8" i="16" s="1"/>
  <c r="G8" i="16"/>
  <c r="I7" i="16"/>
  <c r="L7" i="16" s="1"/>
  <c r="O7" i="16" s="1"/>
  <c r="R7" i="16" s="1"/>
  <c r="G7" i="16"/>
  <c r="I6" i="16"/>
  <c r="G6" i="16"/>
  <c r="I5" i="16"/>
  <c r="L5" i="16" s="1"/>
  <c r="G5" i="16"/>
  <c r="I4" i="16"/>
  <c r="L4" i="16" s="1"/>
  <c r="M4" i="16" s="1"/>
  <c r="G4" i="16"/>
  <c r="I3" i="16"/>
  <c r="J3" i="16" s="1"/>
  <c r="G3" i="16"/>
  <c r="I2" i="16"/>
  <c r="L2" i="16" s="1"/>
  <c r="M2" i="16" s="1"/>
  <c r="G2" i="16"/>
  <c r="S15" i="16" l="1"/>
  <c r="G31" i="2"/>
  <c r="H31" i="2" s="1"/>
  <c r="S7" i="16"/>
  <c r="S9" i="16"/>
  <c r="G23" i="2"/>
  <c r="H23" i="2" s="1"/>
  <c r="S41" i="16"/>
  <c r="S39" i="16"/>
  <c r="G19" i="4"/>
  <c r="H19" i="4" s="1"/>
  <c r="S33" i="16"/>
  <c r="G12" i="4"/>
  <c r="H12" i="4" s="1"/>
  <c r="S31" i="16"/>
  <c r="G10" i="4"/>
  <c r="H10" i="4" s="1"/>
  <c r="S17" i="16"/>
  <c r="G5" i="4"/>
  <c r="H5" i="4" s="1"/>
  <c r="P5" i="3"/>
  <c r="R5" i="3" s="1"/>
  <c r="O5" i="3"/>
  <c r="P24" i="3"/>
  <c r="R24" i="3" s="1"/>
  <c r="O24" i="3"/>
  <c r="P32" i="3"/>
  <c r="R32" i="3" s="1"/>
  <c r="O32" i="3"/>
  <c r="P10" i="3"/>
  <c r="R10" i="3" s="1"/>
  <c r="O10" i="3"/>
  <c r="P25" i="3"/>
  <c r="R25" i="3" s="1"/>
  <c r="O25" i="3"/>
  <c r="P33" i="3"/>
  <c r="R33" i="3" s="1"/>
  <c r="O33" i="3"/>
  <c r="P7" i="3"/>
  <c r="R7" i="3" s="1"/>
  <c r="O7" i="3"/>
  <c r="P11" i="3"/>
  <c r="R11" i="3" s="1"/>
  <c r="O11" i="3"/>
  <c r="P15" i="3"/>
  <c r="R15" i="3" s="1"/>
  <c r="O15" i="3"/>
  <c r="P19" i="3"/>
  <c r="R19" i="3" s="1"/>
  <c r="O19" i="3"/>
  <c r="P26" i="3"/>
  <c r="R26" i="3" s="1"/>
  <c r="O26" i="3"/>
  <c r="P9" i="3"/>
  <c r="R9" i="3" s="1"/>
  <c r="O9" i="3"/>
  <c r="P21" i="3"/>
  <c r="R21" i="3" s="1"/>
  <c r="O21" i="3"/>
  <c r="P28" i="3"/>
  <c r="R28" i="3" s="1"/>
  <c r="O28" i="3"/>
  <c r="P6" i="3"/>
  <c r="R6" i="3" s="1"/>
  <c r="O6" i="3"/>
  <c r="P29" i="3"/>
  <c r="R29" i="3" s="1"/>
  <c r="O29" i="3"/>
  <c r="P3" i="3"/>
  <c r="R3" i="3" s="1"/>
  <c r="O3" i="3"/>
  <c r="P23" i="3"/>
  <c r="R23" i="3" s="1"/>
  <c r="O23" i="3"/>
  <c r="P30" i="3"/>
  <c r="R30" i="3" s="1"/>
  <c r="O30" i="3"/>
  <c r="P34" i="3"/>
  <c r="R34" i="3" s="1"/>
  <c r="O34" i="3"/>
  <c r="P38" i="3"/>
  <c r="R38" i="3" s="1"/>
  <c r="O38" i="3"/>
  <c r="P42" i="3"/>
  <c r="R42" i="3" s="1"/>
  <c r="O42" i="3"/>
  <c r="P13" i="3"/>
  <c r="R13" i="3" s="1"/>
  <c r="O13" i="3"/>
  <c r="P40" i="3"/>
  <c r="R40" i="3" s="1"/>
  <c r="O40" i="3"/>
  <c r="P14" i="3"/>
  <c r="R14" i="3" s="1"/>
  <c r="O14" i="3"/>
  <c r="P41" i="3"/>
  <c r="R41" i="3" s="1"/>
  <c r="O41" i="3"/>
  <c r="P4" i="3"/>
  <c r="R4" i="3" s="1"/>
  <c r="O4" i="3"/>
  <c r="P8" i="3"/>
  <c r="R8" i="3" s="1"/>
  <c r="O8" i="3"/>
  <c r="P12" i="3"/>
  <c r="R12" i="3" s="1"/>
  <c r="O12" i="3"/>
  <c r="P16" i="3"/>
  <c r="R16" i="3" s="1"/>
  <c r="O16" i="3"/>
  <c r="P20" i="3"/>
  <c r="R20" i="3" s="1"/>
  <c r="O20" i="3"/>
  <c r="P17" i="3"/>
  <c r="R17" i="3" s="1"/>
  <c r="O17" i="3"/>
  <c r="P36" i="3"/>
  <c r="R36" i="3" s="1"/>
  <c r="O36" i="3"/>
  <c r="P18" i="3"/>
  <c r="R18" i="3" s="1"/>
  <c r="O18" i="3"/>
  <c r="P22" i="3"/>
  <c r="R22" i="3" s="1"/>
  <c r="O22" i="3"/>
  <c r="P37" i="3"/>
  <c r="R37" i="3" s="1"/>
  <c r="O37" i="3"/>
  <c r="P27" i="3"/>
  <c r="R27" i="3" s="1"/>
  <c r="O27" i="3"/>
  <c r="P31" i="3"/>
  <c r="R31" i="3" s="1"/>
  <c r="O31" i="3"/>
  <c r="P35" i="3"/>
  <c r="R35" i="3" s="1"/>
  <c r="O35" i="3"/>
  <c r="P39" i="3"/>
  <c r="R39" i="3" s="1"/>
  <c r="O39" i="3"/>
  <c r="P43" i="3"/>
  <c r="R43" i="3" s="1"/>
  <c r="O43" i="3"/>
  <c r="M3" i="4"/>
  <c r="N2" i="3"/>
  <c r="Q2" i="3" s="1"/>
  <c r="J9" i="16"/>
  <c r="J43" i="16"/>
  <c r="L3" i="16"/>
  <c r="O3" i="16" s="1"/>
  <c r="R3" i="16" s="1"/>
  <c r="J31" i="16"/>
  <c r="L24" i="16"/>
  <c r="M24" i="16" s="1"/>
  <c r="L34" i="16"/>
  <c r="M34" i="16" s="1"/>
  <c r="J15" i="16"/>
  <c r="M25" i="16"/>
  <c r="J39" i="16"/>
  <c r="J42" i="16"/>
  <c r="J25" i="16"/>
  <c r="M18" i="16"/>
  <c r="O18" i="16"/>
  <c r="R18" i="16" s="1"/>
  <c r="O35" i="16"/>
  <c r="R35" i="16" s="1"/>
  <c r="M35" i="16"/>
  <c r="M42" i="16"/>
  <c r="O42" i="16"/>
  <c r="R42" i="16" s="1"/>
  <c r="M26" i="16"/>
  <c r="O26" i="16"/>
  <c r="R26" i="16" s="1"/>
  <c r="G34" i="2" s="1"/>
  <c r="H34" i="2" s="1"/>
  <c r="O19" i="16"/>
  <c r="R19" i="16" s="1"/>
  <c r="S19" i="16" s="1"/>
  <c r="M19" i="16"/>
  <c r="M10" i="16"/>
  <c r="O10" i="16"/>
  <c r="R10" i="16" s="1"/>
  <c r="O27" i="16"/>
  <c r="R27" i="16" s="1"/>
  <c r="S27" i="16" s="1"/>
  <c r="M27" i="16"/>
  <c r="J18" i="16"/>
  <c r="J23" i="16"/>
  <c r="J27" i="16"/>
  <c r="L32" i="16"/>
  <c r="M32" i="16" s="1"/>
  <c r="M43" i="16"/>
  <c r="M9" i="16"/>
  <c r="J7" i="16"/>
  <c r="L11" i="16"/>
  <c r="J26" i="16"/>
  <c r="J33" i="16"/>
  <c r="J35" i="16"/>
  <c r="P43" i="16"/>
  <c r="L16" i="16"/>
  <c r="O16" i="16" s="1"/>
  <c r="R16" i="16" s="1"/>
  <c r="G2" i="2" s="1"/>
  <c r="H2" i="2" s="1"/>
  <c r="L40" i="16"/>
  <c r="M40" i="16" s="1"/>
  <c r="J2" i="16"/>
  <c r="O4" i="16"/>
  <c r="R4" i="16" s="1"/>
  <c r="S4" i="16" s="1"/>
  <c r="J10" i="16"/>
  <c r="J17" i="16"/>
  <c r="J19" i="16"/>
  <c r="J41" i="16"/>
  <c r="M41" i="16"/>
  <c r="P7" i="16"/>
  <c r="L14" i="16"/>
  <c r="J14" i="16"/>
  <c r="O20" i="16"/>
  <c r="R20" i="16" s="1"/>
  <c r="M20" i="16"/>
  <c r="P23" i="16"/>
  <c r="J30" i="16"/>
  <c r="L30" i="16"/>
  <c r="O36" i="16"/>
  <c r="R36" i="16" s="1"/>
  <c r="S36" i="16" s="1"/>
  <c r="M36" i="16"/>
  <c r="P39" i="16"/>
  <c r="L8" i="16"/>
  <c r="M17" i="16"/>
  <c r="M33" i="16"/>
  <c r="P33" i="16"/>
  <c r="O21" i="16"/>
  <c r="R21" i="16" s="1"/>
  <c r="S21" i="16" s="1"/>
  <c r="M21" i="16"/>
  <c r="O37" i="16"/>
  <c r="R37" i="16" s="1"/>
  <c r="M37" i="16"/>
  <c r="P15" i="16"/>
  <c r="L22" i="16"/>
  <c r="J22" i="16"/>
  <c r="O28" i="16"/>
  <c r="R28" i="16" s="1"/>
  <c r="M28" i="16"/>
  <c r="J38" i="16"/>
  <c r="L38" i="16"/>
  <c r="O5" i="16"/>
  <c r="R5" i="16" s="1"/>
  <c r="G4" i="2" s="1"/>
  <c r="H4" i="2" s="1"/>
  <c r="M5" i="16"/>
  <c r="P17" i="16"/>
  <c r="P9" i="16"/>
  <c r="P25" i="16"/>
  <c r="P41" i="16"/>
  <c r="L6" i="16"/>
  <c r="J6" i="16"/>
  <c r="O12" i="16"/>
  <c r="R12" i="16" s="1"/>
  <c r="G6" i="2" s="1"/>
  <c r="H6" i="2" s="1"/>
  <c r="M12" i="16"/>
  <c r="P31" i="16"/>
  <c r="O2" i="16"/>
  <c r="O13" i="16"/>
  <c r="R13" i="16" s="1"/>
  <c r="M13" i="16"/>
  <c r="O29" i="16"/>
  <c r="R29" i="16" s="1"/>
  <c r="M29" i="16"/>
  <c r="J5" i="16"/>
  <c r="M7" i="16"/>
  <c r="J21" i="16"/>
  <c r="M23" i="16"/>
  <c r="J29" i="16"/>
  <c r="M31" i="16"/>
  <c r="J37" i="16"/>
  <c r="M39" i="16"/>
  <c r="J13" i="16"/>
  <c r="M15" i="16"/>
  <c r="J4" i="16"/>
  <c r="J12" i="16"/>
  <c r="J20" i="16"/>
  <c r="J28" i="16"/>
  <c r="J36" i="16"/>
  <c r="S18" i="16" l="1"/>
  <c r="G32" i="2"/>
  <c r="H32" i="2" s="1"/>
  <c r="G20" i="2"/>
  <c r="H20" i="2" s="1"/>
  <c r="G28" i="2"/>
  <c r="H28" i="2" s="1"/>
  <c r="G29" i="2"/>
  <c r="H29" i="2" s="1"/>
  <c r="G27" i="2"/>
  <c r="H27" i="2" s="1"/>
  <c r="S29" i="16"/>
  <c r="G13" i="2"/>
  <c r="H13" i="2" s="1"/>
  <c r="S13" i="16"/>
  <c r="S3" i="16"/>
  <c r="G3" i="2"/>
  <c r="H3" i="2" s="1"/>
  <c r="G7" i="2"/>
  <c r="H7" i="2" s="1"/>
  <c r="G8" i="2"/>
  <c r="H8" i="2" s="1"/>
  <c r="G9" i="2"/>
  <c r="H9" i="2" s="1"/>
  <c r="S20" i="16"/>
  <c r="G10" i="2"/>
  <c r="H10" i="2" s="1"/>
  <c r="S35" i="16"/>
  <c r="G20" i="4"/>
  <c r="H20" i="4" s="1"/>
  <c r="G17" i="4"/>
  <c r="H17" i="4" s="1"/>
  <c r="S42" i="16"/>
  <c r="G18" i="4"/>
  <c r="H18" i="4" s="1"/>
  <c r="S12" i="16"/>
  <c r="G8" i="4"/>
  <c r="H8" i="4" s="1"/>
  <c r="S28" i="16"/>
  <c r="G9" i="4"/>
  <c r="H9" i="4" s="1"/>
  <c r="S5" i="16"/>
  <c r="G2" i="4"/>
  <c r="H2" i="4" s="1"/>
  <c r="S10" i="16"/>
  <c r="G3" i="4"/>
  <c r="H3" i="4" s="1"/>
  <c r="S16" i="16"/>
  <c r="G4" i="4"/>
  <c r="H4" i="4" s="1"/>
  <c r="S37" i="16"/>
  <c r="G13" i="4"/>
  <c r="H13" i="4" s="1"/>
  <c r="S26" i="16"/>
  <c r="G7" i="4"/>
  <c r="H7" i="4" s="1"/>
  <c r="P2" i="16"/>
  <c r="R2" i="16"/>
  <c r="S2" i="16" s="1"/>
  <c r="O2" i="3"/>
  <c r="R2" i="3"/>
  <c r="M16" i="16"/>
  <c r="P3" i="16"/>
  <c r="P26" i="16"/>
  <c r="M3" i="16"/>
  <c r="O24" i="16"/>
  <c r="R24" i="16" s="1"/>
  <c r="G15" i="2" s="1"/>
  <c r="H15" i="2" s="1"/>
  <c r="P10" i="16"/>
  <c r="O34" i="16"/>
  <c r="R34" i="16" s="1"/>
  <c r="S34" i="16" s="1"/>
  <c r="P35" i="16"/>
  <c r="P18" i="16"/>
  <c r="O40" i="16"/>
  <c r="R40" i="16" s="1"/>
  <c r="O32" i="16"/>
  <c r="R32" i="16" s="1"/>
  <c r="G17" i="2" s="1"/>
  <c r="H17" i="2" s="1"/>
  <c r="P4" i="16"/>
  <c r="O11" i="16"/>
  <c r="R11" i="16" s="1"/>
  <c r="S11" i="16" s="1"/>
  <c r="M11" i="16"/>
  <c r="P19" i="16"/>
  <c r="P27" i="16"/>
  <c r="P42" i="16"/>
  <c r="P36" i="16"/>
  <c r="P29" i="16"/>
  <c r="P16" i="16"/>
  <c r="P21" i="16"/>
  <c r="O14" i="16"/>
  <c r="R14" i="16" s="1"/>
  <c r="S14" i="16" s="1"/>
  <c r="M14" i="16"/>
  <c r="P12" i="16"/>
  <c r="O38" i="16"/>
  <c r="R38" i="16" s="1"/>
  <c r="M38" i="16"/>
  <c r="P28" i="16"/>
  <c r="O22" i="16"/>
  <c r="R22" i="16" s="1"/>
  <c r="M22" i="16"/>
  <c r="P20" i="16"/>
  <c r="P5" i="16"/>
  <c r="P37" i="16"/>
  <c r="P13" i="16"/>
  <c r="O6" i="16"/>
  <c r="R6" i="16" s="1"/>
  <c r="G5" i="2" s="1"/>
  <c r="H5" i="2" s="1"/>
  <c r="M6" i="16"/>
  <c r="M8" i="16"/>
  <c r="O8" i="16"/>
  <c r="R8" i="16" s="1"/>
  <c r="S8" i="16" s="1"/>
  <c r="O30" i="16"/>
  <c r="R30" i="16" s="1"/>
  <c r="M30" i="16"/>
  <c r="G12" i="2" l="1"/>
  <c r="H12" i="2" s="1"/>
  <c r="G35" i="2"/>
  <c r="H35" i="2" s="1"/>
  <c r="G33" i="2"/>
  <c r="H33" i="2" s="1"/>
  <c r="G30" i="2"/>
  <c r="H30" i="2" s="1"/>
  <c r="G16" i="4"/>
  <c r="H16" i="4" s="1"/>
  <c r="G22" i="2"/>
  <c r="H22" i="2" s="1"/>
  <c r="S24" i="16"/>
  <c r="G11" i="2"/>
  <c r="H11" i="2" s="1"/>
  <c r="S6" i="16"/>
  <c r="G26" i="2"/>
  <c r="H26" i="2" s="1"/>
  <c r="S30" i="16"/>
  <c r="G21" i="2"/>
  <c r="H21" i="2" s="1"/>
  <c r="G14" i="2"/>
  <c r="H14" i="2" s="1"/>
  <c r="G19" i="2"/>
  <c r="H19" i="2" s="1"/>
  <c r="S40" i="16"/>
  <c r="G24" i="2"/>
  <c r="H24" i="2" s="1"/>
  <c r="S32" i="16"/>
  <c r="G11" i="4"/>
  <c r="H11" i="4" s="1"/>
  <c r="S22" i="16"/>
  <c r="G6" i="4"/>
  <c r="H6" i="4" s="1"/>
  <c r="S38" i="16"/>
  <c r="G14" i="4"/>
  <c r="H14" i="4" s="1"/>
  <c r="P40" i="16"/>
  <c r="P24" i="16"/>
  <c r="P34" i="16"/>
  <c r="P32" i="16"/>
  <c r="P11" i="16"/>
  <c r="P38" i="16"/>
  <c r="P22" i="16"/>
  <c r="P8" i="16"/>
  <c r="P6" i="16"/>
  <c r="P14" i="16"/>
  <c r="P30" i="16"/>
  <c r="P2" i="2" l="1"/>
  <c r="P2" i="4"/>
</calcChain>
</file>

<file path=xl/sharedStrings.xml><?xml version="1.0" encoding="utf-8"?>
<sst xmlns="http://schemas.openxmlformats.org/spreadsheetml/2006/main" count="940" uniqueCount="472">
  <si>
    <t>Cód. Item</t>
  </si>
  <si>
    <t>Item Contratual</t>
  </si>
  <si>
    <t>Quantidade Contratada</t>
  </si>
  <si>
    <t>Item</t>
  </si>
  <si>
    <t>Quantidade</t>
  </si>
  <si>
    <t>Preço Unitário</t>
  </si>
  <si>
    <t>Total</t>
  </si>
  <si>
    <t>Indice Reajuste</t>
  </si>
  <si>
    <t>Novo Unitário</t>
  </si>
  <si>
    <r>
      <t xml:space="preserve">Banner - </t>
    </r>
    <r>
      <rPr>
        <sz val="10"/>
        <color theme="1"/>
        <rFont val="Segoe UI"/>
        <family val="2"/>
      </rPr>
      <t>Banner em lona com impressão digital de alta qualidade, medida 1,20m x 0,90m acabamento de madeira e ponta de PVC, com tripé.</t>
    </r>
  </si>
  <si>
    <t>22899-0</t>
  </si>
  <si>
    <r>
      <t xml:space="preserve">Banner - </t>
    </r>
    <r>
      <rPr>
        <sz val="10"/>
        <color theme="1"/>
        <rFont val="Segoe UI"/>
        <family val="2"/>
      </rPr>
      <t>Banner em lona com impressão digital de alta qualidade, medida 1,50m x 0,90m acabamento de madeira e ponta de PVC, com tripé.</t>
    </r>
  </si>
  <si>
    <t>22900-8</t>
  </si>
  <si>
    <r>
      <t xml:space="preserve">Banner- </t>
    </r>
    <r>
      <rPr>
        <sz val="10"/>
        <color theme="1"/>
        <rFont val="Segoe UI"/>
        <family val="2"/>
      </rPr>
      <t>Banner em lona com impressão digital de alta qualidade, medida 1,30X 1,80m acabamento de madeira e ponta de PVC, com tripé.</t>
    </r>
  </si>
  <si>
    <t>22901-6</t>
  </si>
  <si>
    <r>
      <t xml:space="preserve">Cartão Cerimonial - </t>
    </r>
    <r>
      <rPr>
        <sz val="10"/>
        <color theme="1"/>
        <rFont val="Segoe UI"/>
        <family val="2"/>
      </rPr>
      <t>Cartão cerimonial formato 12,5cm x 8,5cm, papel cartão supremo 330gr impressão 1 x 1 cores</t>
    </r>
  </si>
  <si>
    <t>23039-1</t>
  </si>
  <si>
    <r>
      <t>Cartão Cerimonial -</t>
    </r>
    <r>
      <rPr>
        <sz val="10"/>
        <color theme="1"/>
        <rFont val="Segoe UI"/>
        <family val="2"/>
      </rPr>
      <t>Cartão cerimonial formato 12,5cm x 8,5cm, papel cartão supremo 330gr impressão 4 x 0 cores</t>
    </r>
  </si>
  <si>
    <t>23040-5</t>
  </si>
  <si>
    <r>
      <t xml:space="preserve">Cartão de visita - </t>
    </r>
    <r>
      <rPr>
        <sz val="10"/>
        <color theme="1"/>
        <rFont val="Segoe UI"/>
        <family val="2"/>
      </rPr>
      <t>Cartão de visita formato 9,5cm x 5,5cm, acabamento refile.</t>
    </r>
  </si>
  <si>
    <t>22935-0</t>
  </si>
  <si>
    <r>
      <t xml:space="preserve">Cartão de visita - </t>
    </r>
    <r>
      <rPr>
        <sz val="10"/>
        <color theme="1"/>
        <rFont val="Segoe UI"/>
        <family val="2"/>
      </rPr>
      <t>EM BRAILEARTE/MATRIZES ,TRADUÇÃO E REVISÃO ORTOGRÁFICA EM BRAILE POR CONTA DA CONTRATADA Cartão de 9,5cm(L) x 5,5cm(A); papel duplex 300gr ou cartão, impressão 4X0 cores, gravação braile na frente.</t>
    </r>
  </si>
  <si>
    <t>22936-9</t>
  </si>
  <si>
    <r>
      <t>Cartaz -</t>
    </r>
    <r>
      <rPr>
        <sz val="10"/>
        <color theme="1"/>
        <rFont val="Segoe UI"/>
        <family val="2"/>
      </rPr>
      <t>Cartaz formato 60cm x 40cm, papel couche 150gr, impressão 4 x 0 cores, acabamento dupla face e refile</t>
    </r>
  </si>
  <si>
    <t>22950-4</t>
  </si>
  <si>
    <r>
      <t xml:space="preserve">Cartilha- </t>
    </r>
    <r>
      <rPr>
        <sz val="10"/>
        <color theme="1"/>
        <rFont val="Segoe UI"/>
        <family val="2"/>
      </rPr>
      <t>Cartilha formato 29,7cm x 21cm, A4 fechado, 96 páginas, papel couche 115gr, impressão 4 x 4 cores, acabamento hotmelt</t>
    </r>
  </si>
  <si>
    <t>22973-3</t>
  </si>
  <si>
    <r>
      <t>Cartilha/ book -</t>
    </r>
    <r>
      <rPr>
        <sz val="10"/>
        <color theme="1"/>
        <rFont val="Segoe UI"/>
        <family val="2"/>
      </rPr>
      <t>Cartilha formato 29,7cm x 21cm, 96 páginas, papel couche 115gr, impressão 4 x 4 cores, capa dura</t>
    </r>
  </si>
  <si>
    <t>22974-1</t>
  </si>
  <si>
    <r>
      <t xml:space="preserve">Certificado - </t>
    </r>
    <r>
      <rPr>
        <sz val="10"/>
        <color theme="1"/>
        <rFont val="Segoe UI"/>
        <family val="2"/>
      </rPr>
      <t>Certificado formato 21cm x 29,7 - A4, papel couche brilho 300gr, impressão 4 x 0 cores, acabamento refile</t>
    </r>
  </si>
  <si>
    <t>22975-0</t>
  </si>
  <si>
    <r>
      <t xml:space="preserve">Convite - </t>
    </r>
    <r>
      <rPr>
        <sz val="10"/>
        <color theme="1"/>
        <rFont val="Segoe UI"/>
        <family val="2"/>
      </rPr>
      <t>Convite formato 17cm x 9cm, papel couche brilho 170gr, numerado impressão 4 x 0 cores, acabamento refile</t>
    </r>
  </si>
  <si>
    <t>22976-8</t>
  </si>
  <si>
    <r>
      <t xml:space="preserve">Folheto- </t>
    </r>
    <r>
      <rPr>
        <sz val="10"/>
        <color theme="1"/>
        <rFont val="Segoe UI"/>
        <family val="2"/>
      </rPr>
      <t>Folheto formato 15cm x 21cm, fechado, papel couche 115gr, impressão 4 x 0 cores, acabamento 2 dobras e refile</t>
    </r>
  </si>
  <si>
    <t>22982-2</t>
  </si>
  <si>
    <r>
      <t xml:space="preserve">Folheto - </t>
    </r>
    <r>
      <rPr>
        <sz val="10"/>
        <color theme="1"/>
        <rFont val="Segoe UI"/>
        <family val="2"/>
      </rPr>
      <t>Folheto formato 15cm x 21cm fechado, papel couche 115gr, impressão 4 x 4 cores, acabamento 2 dobras e refile</t>
    </r>
  </si>
  <si>
    <t>22989-0</t>
  </si>
  <si>
    <r>
      <t xml:space="preserve">Folder- </t>
    </r>
    <r>
      <rPr>
        <sz val="10"/>
        <color theme="1"/>
        <rFont val="Segoe UI"/>
        <family val="2"/>
      </rPr>
      <t>Folder formato 29,7cm x 21cm aberto, papel couche 115gr, impressão 4 x 4 cores, acabamento 1 ou 2 dobras refile</t>
    </r>
  </si>
  <si>
    <t>22990-3</t>
  </si>
  <si>
    <r>
      <t xml:space="preserve">Livreto - </t>
    </r>
    <r>
      <rPr>
        <sz val="10"/>
        <color theme="1"/>
        <rFont val="Segoe UI"/>
        <family val="2"/>
      </rPr>
      <t>Livreto formato 15,5cm x 11,5cm, 48 páginas, papel miolo couche 115gr, impressão 4 x 4 cores, capa papel couche brilho 150gr impressão 4 x 4 cores, acabamento grampeado e refile</t>
    </r>
  </si>
  <si>
    <t>22991-1</t>
  </si>
  <si>
    <r>
      <t xml:space="preserve">Livreto - </t>
    </r>
    <r>
      <rPr>
        <sz val="10"/>
        <color theme="1"/>
        <rFont val="Segoe UI"/>
        <family val="2"/>
      </rPr>
      <t>Livreto formato 15cm x 21cm, 48 páginas, papel miolo couche 115gr, impressão 4 x 4 cores, capa papel couche brilho 150gr impressão 4 x 4 cores, acabamento grampeado e refile</t>
    </r>
  </si>
  <si>
    <t>22992-0</t>
  </si>
  <si>
    <r>
      <t>Cópias em preto e branco</t>
    </r>
    <r>
      <rPr>
        <sz val="10"/>
        <color theme="1"/>
        <rFont val="Segoe UI"/>
        <family val="2"/>
      </rPr>
      <t xml:space="preserve">, no tamanho A3, em sulfite 75g – </t>
    </r>
    <r>
      <rPr>
        <b/>
        <sz val="10"/>
        <color theme="1"/>
        <rFont val="Segoe UI"/>
        <family val="2"/>
      </rPr>
      <t>só frente</t>
    </r>
    <r>
      <rPr>
        <sz val="10"/>
        <color theme="1"/>
        <rFont val="Segoe UI"/>
        <family val="2"/>
      </rPr>
      <t xml:space="preserve"> (297 × 420mm).</t>
    </r>
  </si>
  <si>
    <t>23007-3</t>
  </si>
  <si>
    <r>
      <t>Cópias em preto e branco</t>
    </r>
    <r>
      <rPr>
        <sz val="10"/>
        <color theme="1"/>
        <rFont val="Segoe UI"/>
        <family val="2"/>
      </rPr>
      <t xml:space="preserve">, no tamanho A4, em sulfite 75g – </t>
    </r>
    <r>
      <rPr>
        <b/>
        <sz val="10"/>
        <color theme="1"/>
        <rFont val="Segoe UI"/>
        <family val="2"/>
      </rPr>
      <t>só frente</t>
    </r>
    <r>
      <rPr>
        <sz val="10"/>
        <color theme="1"/>
        <rFont val="Segoe UI"/>
        <family val="2"/>
      </rPr>
      <t xml:space="preserve"> (210x297mm).</t>
    </r>
  </si>
  <si>
    <t>23016-2</t>
  </si>
  <si>
    <r>
      <t>Cópias Coloridas, no tamanho A3</t>
    </r>
    <r>
      <rPr>
        <sz val="10"/>
        <color theme="1"/>
        <rFont val="Segoe UI"/>
        <family val="2"/>
      </rPr>
      <t xml:space="preserve">, em sulfite 75g – </t>
    </r>
    <r>
      <rPr>
        <b/>
        <sz val="10"/>
        <color theme="1"/>
        <rFont val="Segoe UI"/>
        <family val="2"/>
      </rPr>
      <t>só frente</t>
    </r>
    <r>
      <rPr>
        <sz val="10"/>
        <color theme="1"/>
        <rFont val="Segoe UI"/>
        <family val="2"/>
      </rPr>
      <t xml:space="preserve"> (297 × 420mm).</t>
    </r>
  </si>
  <si>
    <t>23017-0</t>
  </si>
  <si>
    <r>
      <t>Cópias Coloridas, no tamanho A4</t>
    </r>
    <r>
      <rPr>
        <sz val="10"/>
        <color theme="1"/>
        <rFont val="Segoe UI"/>
        <family val="2"/>
      </rPr>
      <t xml:space="preserve">, em sulfite 75g – </t>
    </r>
    <r>
      <rPr>
        <b/>
        <sz val="10"/>
        <color theme="1"/>
        <rFont val="Segoe UI"/>
        <family val="2"/>
      </rPr>
      <t>só frente</t>
    </r>
    <r>
      <rPr>
        <sz val="10"/>
        <color theme="1"/>
        <rFont val="Segoe UI"/>
        <family val="2"/>
      </rPr>
      <t xml:space="preserve"> (210x297mm).</t>
    </r>
  </si>
  <si>
    <t>23018-9</t>
  </si>
  <si>
    <r>
      <t>Cópias em preto e branco, no tamanho A3,</t>
    </r>
    <r>
      <rPr>
        <sz val="10"/>
        <color theme="1"/>
        <rFont val="Segoe UI"/>
        <family val="2"/>
      </rPr>
      <t xml:space="preserve"> em sulfite 75g – </t>
    </r>
    <r>
      <rPr>
        <b/>
        <sz val="10"/>
        <color theme="1"/>
        <rFont val="Segoe UI"/>
        <family val="2"/>
      </rPr>
      <t>frente e verso</t>
    </r>
    <r>
      <rPr>
        <sz val="10"/>
        <color theme="1"/>
        <rFont val="Segoe UI"/>
        <family val="2"/>
      </rPr>
      <t xml:space="preserve"> (297 × 420mm).</t>
    </r>
  </si>
  <si>
    <t>23019-7</t>
  </si>
  <si>
    <r>
      <t>Cópias em preto e branco, no tamanho A4</t>
    </r>
    <r>
      <rPr>
        <sz val="10"/>
        <color theme="1"/>
        <rFont val="Segoe UI"/>
        <family val="2"/>
      </rPr>
      <t xml:space="preserve">, em sulfite 75g – </t>
    </r>
    <r>
      <rPr>
        <b/>
        <sz val="10"/>
        <color theme="1"/>
        <rFont val="Segoe UI"/>
        <family val="2"/>
      </rPr>
      <t>frente e verso</t>
    </r>
    <r>
      <rPr>
        <sz val="10"/>
        <color theme="1"/>
        <rFont val="Segoe UI"/>
        <family val="2"/>
      </rPr>
      <t xml:space="preserve"> (210x297mm).</t>
    </r>
  </si>
  <si>
    <t>23020-0</t>
  </si>
  <si>
    <r>
      <t>Cópias Coloridas, no tamanho A3</t>
    </r>
    <r>
      <rPr>
        <sz val="10"/>
        <color theme="1"/>
        <rFont val="Segoe UI"/>
        <family val="2"/>
      </rPr>
      <t xml:space="preserve">, em sulfite 75g – </t>
    </r>
    <r>
      <rPr>
        <b/>
        <sz val="10"/>
        <color theme="1"/>
        <rFont val="Segoe UI"/>
        <family val="2"/>
      </rPr>
      <t>frente e verso</t>
    </r>
    <r>
      <rPr>
        <sz val="10"/>
        <color theme="1"/>
        <rFont val="Segoe UI"/>
        <family val="2"/>
      </rPr>
      <t xml:space="preserve"> (297 × 420mm).</t>
    </r>
  </si>
  <si>
    <t>23026-0</t>
  </si>
  <si>
    <r>
      <t>Cópias Coloridas, no tamanho A4,</t>
    </r>
    <r>
      <rPr>
        <sz val="10"/>
        <color theme="1"/>
        <rFont val="Segoe UI"/>
        <family val="2"/>
      </rPr>
      <t xml:space="preserve"> em sulfite 75g – </t>
    </r>
    <r>
      <rPr>
        <b/>
        <sz val="10"/>
        <color theme="1"/>
        <rFont val="Segoe UI"/>
        <family val="2"/>
      </rPr>
      <t>frente e verso</t>
    </r>
    <r>
      <rPr>
        <sz val="10"/>
        <color theme="1"/>
        <rFont val="Segoe UI"/>
        <family val="2"/>
      </rPr>
      <t xml:space="preserve"> (210x297mm).</t>
    </r>
  </si>
  <si>
    <t>23027-8</t>
  </si>
  <si>
    <r>
      <t>Cópias em preto e branco, no tamanho Ofício</t>
    </r>
    <r>
      <rPr>
        <sz val="10"/>
        <color theme="1"/>
        <rFont val="Segoe UI"/>
        <family val="2"/>
      </rPr>
      <t xml:space="preserve"> 2, em sulfite 75g – </t>
    </r>
    <r>
      <rPr>
        <b/>
        <sz val="10"/>
        <color theme="1"/>
        <rFont val="Segoe UI"/>
        <family val="2"/>
      </rPr>
      <t>só frente</t>
    </r>
    <r>
      <rPr>
        <sz val="10"/>
        <color theme="1"/>
        <rFont val="Segoe UI"/>
        <family val="2"/>
      </rPr>
      <t xml:space="preserve"> (216 x 330 mm).</t>
    </r>
  </si>
  <si>
    <t>23028-6</t>
  </si>
  <si>
    <r>
      <t>Cópias em preto e branco, no tamanho Ofício 2</t>
    </r>
    <r>
      <rPr>
        <sz val="10"/>
        <color theme="1"/>
        <rFont val="Segoe UI"/>
        <family val="2"/>
      </rPr>
      <t xml:space="preserve">, em sulfite 75g – </t>
    </r>
    <r>
      <rPr>
        <b/>
        <sz val="10"/>
        <color theme="1"/>
        <rFont val="Segoe UI"/>
        <family val="2"/>
      </rPr>
      <t>frente e verso</t>
    </r>
    <r>
      <rPr>
        <sz val="10"/>
        <color theme="1"/>
        <rFont val="Segoe UI"/>
        <family val="2"/>
      </rPr>
      <t xml:space="preserve"> (216 x 330 mm).</t>
    </r>
  </si>
  <si>
    <t>23029-4</t>
  </si>
  <si>
    <r>
      <t>Cópias coloridas, no tamanho Ofício 2</t>
    </r>
    <r>
      <rPr>
        <sz val="10"/>
        <color theme="1"/>
        <rFont val="Segoe UI"/>
        <family val="2"/>
      </rPr>
      <t xml:space="preserve">, em sulfite 75g – </t>
    </r>
    <r>
      <rPr>
        <b/>
        <sz val="10"/>
        <color theme="1"/>
        <rFont val="Segoe UI"/>
        <family val="2"/>
      </rPr>
      <t>só frente</t>
    </r>
    <r>
      <rPr>
        <sz val="10"/>
        <color theme="1"/>
        <rFont val="Segoe UI"/>
        <family val="2"/>
      </rPr>
      <t xml:space="preserve"> (216 x 330 mm).</t>
    </r>
  </si>
  <si>
    <t>23030-8</t>
  </si>
  <si>
    <r>
      <t>Cópias coloridas, no tamanho Ofício 2</t>
    </r>
    <r>
      <rPr>
        <sz val="10"/>
        <color theme="1"/>
        <rFont val="Segoe UI"/>
        <family val="2"/>
      </rPr>
      <t xml:space="preserve">, em sulfite 75g – </t>
    </r>
    <r>
      <rPr>
        <b/>
        <sz val="10"/>
        <color theme="1"/>
        <rFont val="Segoe UI"/>
        <family val="2"/>
      </rPr>
      <t>frente e verso</t>
    </r>
    <r>
      <rPr>
        <sz val="10"/>
        <color theme="1"/>
        <rFont val="Segoe UI"/>
        <family val="2"/>
      </rPr>
      <t xml:space="preserve"> (216 x 330 mm).</t>
    </r>
  </si>
  <si>
    <t>23031-6</t>
  </si>
  <si>
    <r>
      <t>Encadernação (até 100 folhas),</t>
    </r>
    <r>
      <rPr>
        <sz val="10"/>
        <color theme="1"/>
        <rFont val="Segoe UI"/>
        <family val="2"/>
      </rPr>
      <t xml:space="preserve"> em espiral com capa de PVC transparente na frente e com cor nas costas</t>
    </r>
  </si>
  <si>
    <t>23032-4</t>
  </si>
  <si>
    <r>
      <t>Encadernação pequena (101 a 250 folhas),</t>
    </r>
    <r>
      <rPr>
        <sz val="10"/>
        <color theme="1"/>
        <rFont val="Segoe UI"/>
        <family val="2"/>
      </rPr>
      <t xml:space="preserve"> em espiral com capa de PVC transparente na frente e com cor nas costas</t>
    </r>
  </si>
  <si>
    <t>23033-2</t>
  </si>
  <si>
    <r>
      <t>Encadernação (acima de 251 folhas),</t>
    </r>
    <r>
      <rPr>
        <sz val="10"/>
        <color theme="1"/>
        <rFont val="Segoe UI"/>
        <family val="2"/>
      </rPr>
      <t xml:space="preserve"> em espiral com capa de PVC transparente na frente e com cor nas costas</t>
    </r>
  </si>
  <si>
    <t>23034-0</t>
  </si>
  <si>
    <r>
      <t>Encadernação (até 100 folhas)</t>
    </r>
    <r>
      <rPr>
        <sz val="10"/>
        <color theme="1"/>
        <rFont val="Segoe UI"/>
        <family val="2"/>
      </rPr>
      <t xml:space="preserve"> em hot-melt</t>
    </r>
  </si>
  <si>
    <t>23041-3</t>
  </si>
  <si>
    <r>
      <t>Encadernação (101 a 250 folhas)</t>
    </r>
    <r>
      <rPr>
        <sz val="10"/>
        <color theme="1"/>
        <rFont val="Segoe UI"/>
        <family val="2"/>
      </rPr>
      <t xml:space="preserve"> em hot-melt</t>
    </r>
  </si>
  <si>
    <t>23042-1</t>
  </si>
  <si>
    <r>
      <t>Encadernação (acima de 251 folhas)</t>
    </r>
    <r>
      <rPr>
        <sz val="10"/>
        <color theme="1"/>
        <rFont val="Segoe UI"/>
        <family val="2"/>
      </rPr>
      <t xml:space="preserve"> em hot-melt</t>
    </r>
  </si>
  <si>
    <t>23043-0</t>
  </si>
  <si>
    <r>
      <t>Encadernação (até 100 folhas),</t>
    </r>
    <r>
      <rPr>
        <sz val="10"/>
        <color theme="1"/>
        <rFont val="Segoe UI"/>
        <family val="2"/>
      </rPr>
      <t xml:space="preserve"> em grampo canoa com capa</t>
    </r>
  </si>
  <si>
    <t>23044-8</t>
  </si>
  <si>
    <r>
      <t>Flyer</t>
    </r>
    <r>
      <rPr>
        <sz val="10"/>
        <color theme="1"/>
        <rFont val="Segoe UI"/>
        <family val="2"/>
      </rPr>
      <t xml:space="preserve"> Tamanho A5, Papel Couché Brilho, 150g/M2 , 4x4 Cores</t>
    </r>
  </si>
  <si>
    <t>23036-7</t>
  </si>
  <si>
    <r>
      <t>Flyer</t>
    </r>
    <r>
      <rPr>
        <sz val="10"/>
        <color theme="1"/>
        <rFont val="Segoe UI"/>
        <family val="2"/>
      </rPr>
      <t xml:space="preserve"> tamanho A5, papel couché brilhante, impressão 4x0 cores. 90 gr/m2</t>
    </r>
  </si>
  <si>
    <t>23037-5</t>
  </si>
  <si>
    <r>
      <t>Encadernação capa dura</t>
    </r>
    <r>
      <rPr>
        <sz val="10"/>
        <color theme="1"/>
        <rFont val="Segoe UI"/>
        <family val="2"/>
      </rPr>
      <t>, com tratamento impermeabilizante,  formato A4; Os trabalhos devem ser costurados na lombada em forma de acabamento e colados a uma capa dura colorida e com descrições na capa e nas lombadas</t>
    </r>
  </si>
  <si>
    <t>23048-0</t>
  </si>
  <si>
    <r>
      <t>Serviço de impressão/plotagem</t>
    </r>
    <r>
      <rPr>
        <sz val="10"/>
        <color theme="1"/>
        <rFont val="Segoe UI"/>
        <family val="2"/>
      </rPr>
      <t xml:space="preserve"> colorida de Projetos de Engenharia incluso dobragem conforme ABNT/NBR 13142/1999, formatos série ABNT A0. Impressão a laser ou tinta térmica em papel sulfite branco, gramatura mínima 75g/m2, resolução de impressão igual ou superior a 1200dpi x 1200 dpi (ponto por polegada quadrada), a partir de arquivos digitais a serem fornecidos pela CONTRATANTE</t>
    </r>
  </si>
  <si>
    <t>23045-6</t>
  </si>
  <si>
    <r>
      <t>Serviço de impressão/plotagem</t>
    </r>
    <r>
      <rPr>
        <sz val="10"/>
        <color theme="1"/>
        <rFont val="Segoe UI"/>
        <family val="2"/>
      </rPr>
      <t xml:space="preserve"> colorida de Projetos de Engenharia incluso dobragem conforme ABNT/NBR 13142/1999, formatos série ABNT A1. Impressão a laser ou tinta térmica em papel sulfite branco, gramatura mínima 75g/m2, resolução de impressão igual ou superior a 1200dpi x 1200 dpi (ponto por polegada quadrada), a partir de arquivos digitais a serem fornecidos pela CONTRATANTE</t>
    </r>
  </si>
  <si>
    <t>23046-4</t>
  </si>
  <si>
    <r>
      <t>Serviço de impressão/plotagem</t>
    </r>
    <r>
      <rPr>
        <sz val="10"/>
        <color theme="1"/>
        <rFont val="Segoe UI"/>
        <family val="2"/>
      </rPr>
      <t xml:space="preserve"> colorida de Projetos de Engenharia incluso dobragem conforme ABNT/NBR 13142/1999, formatos série ABNT A2. Impressão a laser ou tinta térmica em papel sulfite branco, gramatura mínima 75g/m2, resolução de impressão igual ou superior a 1200dpi x 1200 dpi (ponto por polegada quadrada), a partir de arquivos digitais a serem fornecidos pela CONTRATANTE</t>
    </r>
  </si>
  <si>
    <t>23047-2</t>
  </si>
  <si>
    <t>Data</t>
  </si>
  <si>
    <t>Nome Solicitante</t>
  </si>
  <si>
    <t>Setor Responsável</t>
  </si>
  <si>
    <t>Pedido</t>
  </si>
  <si>
    <t>Valor Unitário</t>
  </si>
  <si>
    <t>Valor do Pedido</t>
  </si>
  <si>
    <t>Controle de Utilização Mensal</t>
  </si>
  <si>
    <t>Gustavo</t>
  </si>
  <si>
    <t>DIPES</t>
  </si>
  <si>
    <t>2 Banner 1,90x1,20</t>
  </si>
  <si>
    <t>Quantidade Utilizada</t>
  </si>
  <si>
    <t>Quantidade Mensal</t>
  </si>
  <si>
    <t>Valor a Pagar</t>
  </si>
  <si>
    <t>Humberto</t>
  </si>
  <si>
    <t>CONVIVA</t>
  </si>
  <si>
    <t>A4 sulfite, Frente Colorido</t>
  </si>
  <si>
    <t>04 Banners 180x130</t>
  </si>
  <si>
    <t>Maria Carolina</t>
  </si>
  <si>
    <t>CERIMONIAL</t>
  </si>
  <si>
    <t>1000 A5 180 grs</t>
  </si>
  <si>
    <t>3000 Fichas 14x9 180 grs</t>
  </si>
  <si>
    <t>Caroline</t>
  </si>
  <si>
    <t>SUCOR</t>
  </si>
  <si>
    <t>16 Revistas</t>
  </si>
  <si>
    <t xml:space="preserve"> </t>
  </si>
  <si>
    <t>Amanda</t>
  </si>
  <si>
    <t>EFAPE</t>
  </si>
  <si>
    <t>2 Banners 90x1,20</t>
  </si>
  <si>
    <t>6 A4 sulfite e plastificado</t>
  </si>
  <si>
    <t>55 A4 F/V 180 grs</t>
  </si>
  <si>
    <t>6 A2 210 grs</t>
  </si>
  <si>
    <t>78 Impressão A3</t>
  </si>
  <si>
    <t>Heloisa</t>
  </si>
  <si>
    <t>SUPED</t>
  </si>
  <si>
    <t>06 Mapas</t>
  </si>
  <si>
    <t>Tamires</t>
  </si>
  <si>
    <t>DIISE</t>
  </si>
  <si>
    <t>Banner 1,50x1,50</t>
  </si>
  <si>
    <t>6 Impressão A3</t>
  </si>
  <si>
    <t>Jeniffer</t>
  </si>
  <si>
    <t>Guia Pratico F/V colorido</t>
  </si>
  <si>
    <t>Carta Obstaculo</t>
  </si>
  <si>
    <t>Painel Tsuru dourado P. Fot. ColorA2</t>
  </si>
  <si>
    <t>Banner 115x55</t>
  </si>
  <si>
    <t>Banner 115x45</t>
  </si>
  <si>
    <t>Folha Rotas de Mestre</t>
  </si>
  <si>
    <t>Rota do Tesouro P/B F/V A4</t>
  </si>
  <si>
    <t>Cartas normativas A4 colorido</t>
  </si>
  <si>
    <t>Arquivo Teams Game</t>
  </si>
  <si>
    <t>Banner Oficina Seminario 90x1,20</t>
  </si>
  <si>
    <t xml:space="preserve">A6, F/V, color, firme </t>
  </si>
  <si>
    <t>Banner 115x130</t>
  </si>
  <si>
    <t>Selos Tsuru Adesivos</t>
  </si>
  <si>
    <t>Arquivo Teams Game F/V</t>
  </si>
  <si>
    <t xml:space="preserve">Boa Mediação Sulf. Color A4 </t>
  </si>
  <si>
    <t>Filipetas Sulf. Color A4</t>
  </si>
  <si>
    <t>Banner 115x105</t>
  </si>
  <si>
    <t>Placas A-H Sulf. Color A4 Plast</t>
  </si>
  <si>
    <t>Banner 115x150</t>
  </si>
  <si>
    <t>TabuleiroOficina P. Fot. ColorA2</t>
  </si>
  <si>
    <t>Banner 168x45</t>
  </si>
  <si>
    <t>Avatar P. Fot.Color A4</t>
  </si>
  <si>
    <t>Placas Juntas Papel Fot. Color</t>
  </si>
  <si>
    <t>Por dentro do curriculo A3 250 grs</t>
  </si>
  <si>
    <t>Carta personagem P. Fot.Color A4</t>
  </si>
  <si>
    <t>Carol</t>
  </si>
  <si>
    <t>8 revistas</t>
  </si>
  <si>
    <t>4 Revistas</t>
  </si>
  <si>
    <t>Marcia</t>
  </si>
  <si>
    <t>COGESPA</t>
  </si>
  <si>
    <t>Trofeus Governador 4 unidades</t>
  </si>
  <si>
    <t>Michel</t>
  </si>
  <si>
    <t xml:space="preserve">400 Flyers </t>
  </si>
  <si>
    <t>2 Banner 0,90x1,20</t>
  </si>
  <si>
    <t>400 Bloco A5</t>
  </si>
  <si>
    <t>Luanna</t>
  </si>
  <si>
    <t>2400 impressões A5 F/V color</t>
  </si>
  <si>
    <t>Warley</t>
  </si>
  <si>
    <t>DPGDOC</t>
  </si>
  <si>
    <t>Saldo remanecente</t>
  </si>
  <si>
    <t>Fatima</t>
  </si>
  <si>
    <t>01 cento cartão visita F/V</t>
  </si>
  <si>
    <t>1 certificado</t>
  </si>
  <si>
    <t>Oficina 3 A4  Frente colorido</t>
  </si>
  <si>
    <t>ok</t>
  </si>
  <si>
    <t>Lembrancinha A4 Fot/adesivo</t>
  </si>
  <si>
    <t>Oficina 3 A4  Frente color 90 grs</t>
  </si>
  <si>
    <t>2a</t>
  </si>
  <si>
    <t>Escopo A4 Frente Color</t>
  </si>
  <si>
    <t>2b</t>
  </si>
  <si>
    <t>Oficina 2 A4 F/V Color</t>
  </si>
  <si>
    <t>Oficina 1 A4 Frente Color</t>
  </si>
  <si>
    <t>5590 Cartazes</t>
  </si>
  <si>
    <t>Leitura inicial A4 Frente Color</t>
  </si>
  <si>
    <t>Estudo de caso A4 Frente Color</t>
  </si>
  <si>
    <t>Tabela A4 Frente Color</t>
  </si>
  <si>
    <t>Elaine</t>
  </si>
  <si>
    <t>250 F/V P/B encadernação</t>
  </si>
  <si>
    <t>Louisy</t>
  </si>
  <si>
    <t>5375 F/V P/B encadernação</t>
  </si>
  <si>
    <t>19/20</t>
  </si>
  <si>
    <t>485 trofeus</t>
  </si>
  <si>
    <t>Frente color A4</t>
  </si>
  <si>
    <t>Registro de Atividade</t>
  </si>
  <si>
    <t>Roteiro para realização da atividade</t>
  </si>
  <si>
    <t>6 impressões color, A4, 180 grs</t>
  </si>
  <si>
    <t>11 impressões color, A4, 180 grs</t>
  </si>
  <si>
    <t>Pra começar</t>
  </si>
  <si>
    <t>A2 120 grs. Frente color</t>
  </si>
  <si>
    <t>Cognitivo</t>
  </si>
  <si>
    <t>A3 120 grs. Frente color</t>
  </si>
  <si>
    <t>Pedagogico</t>
  </si>
  <si>
    <t>Didatico</t>
  </si>
  <si>
    <t>Pamela</t>
  </si>
  <si>
    <t>Situação 01 A4, frente, color</t>
  </si>
  <si>
    <t>Situação 02 A4, frente, color</t>
  </si>
  <si>
    <t>Situação 03 A4, frente, color</t>
  </si>
  <si>
    <t>Situação 04 A4, frente, color</t>
  </si>
  <si>
    <t>Historia A4 P/B 120 grs</t>
  </si>
  <si>
    <t>Filo A4 P/B 120 grs</t>
  </si>
  <si>
    <t>Socio A4 P/B 120 grs</t>
  </si>
  <si>
    <t>Tabela 1 Historia A3 color 120 grs</t>
  </si>
  <si>
    <t>Tabela 1 Filo A3 color 120 grs</t>
  </si>
  <si>
    <t>Tabela 1 Socio A3 color 120 grs</t>
  </si>
  <si>
    <t>Tabela 2 Historia A3 color 120 grs</t>
  </si>
  <si>
    <t>Frente A4 Color</t>
  </si>
  <si>
    <t>Oficina Matematica</t>
  </si>
  <si>
    <t>07 Revistas</t>
  </si>
  <si>
    <t>Tags</t>
  </si>
  <si>
    <t>12 A4 180 grs</t>
  </si>
  <si>
    <t>Painel Coletivo A3 gram. Cartolina</t>
  </si>
  <si>
    <t>Quadro Sintese A3 gram. Cartolina</t>
  </si>
  <si>
    <t>Certificado A4 color 180 grs</t>
  </si>
  <si>
    <t>Leitura de Processos</t>
  </si>
  <si>
    <t>A4 color sulf. 75 grs frente</t>
  </si>
  <si>
    <t>Mapa</t>
  </si>
  <si>
    <t>30 A3 sulfite colorido</t>
  </si>
  <si>
    <t>01 Banner 1,30 x 1,80</t>
  </si>
  <si>
    <t>07 Banner 1,00 x 1,20</t>
  </si>
  <si>
    <t>96 cartas F/V 180 grs</t>
  </si>
  <si>
    <t>Banner 1,50 x 1,80</t>
  </si>
  <si>
    <t>01 Banner 90 x 1,50</t>
  </si>
  <si>
    <t>Na pratica Filo</t>
  </si>
  <si>
    <t>A4 Sulf. 90 grs frente color</t>
  </si>
  <si>
    <t>Na pratica Hist</t>
  </si>
  <si>
    <t>Tarefa</t>
  </si>
  <si>
    <t>Sulf A4 só frente color</t>
  </si>
  <si>
    <t>5 impressões color, A4, 180 grs</t>
  </si>
  <si>
    <t>26 impressões color, A4, 75grs</t>
  </si>
  <si>
    <t>50 impressões color, A4, 75grs</t>
  </si>
  <si>
    <t>72 impressões color, A4, 75grs</t>
  </si>
  <si>
    <t>30 impressões color, A4, 75grs</t>
  </si>
  <si>
    <t>10 impressões color, A4, 75grs</t>
  </si>
  <si>
    <t>60 impressões color, A4, 75grs</t>
  </si>
  <si>
    <t>30 impressões P/B, A4, 75grs, frente e verso</t>
  </si>
  <si>
    <t xml:space="preserve">8 impressões P/B, A4, </t>
  </si>
  <si>
    <t>40 impressões color, A4, 75 grs</t>
  </si>
  <si>
    <t>Quadro sintese</t>
  </si>
  <si>
    <t>40 A3 gramatura cartão</t>
  </si>
  <si>
    <t>marcador de livro</t>
  </si>
  <si>
    <t>300 impressões color,  200x50mm papel fosco 180 4x4</t>
  </si>
  <si>
    <t>tag de porta</t>
  </si>
  <si>
    <t>20 unidades, color, 180grs</t>
  </si>
  <si>
    <t>cartaz de calendario</t>
  </si>
  <si>
    <t xml:space="preserve">2 impressões 120x90, papel couchê </t>
  </si>
  <si>
    <t>marca pagina</t>
  </si>
  <si>
    <t xml:space="preserve">90 marcadores, formato: 5 x 15 cm (vertical), papel de 90 grs frente e verso e colorido </t>
  </si>
  <si>
    <t>fichas 1 e 2</t>
  </si>
  <si>
    <t>400 impressões color, A4, 90grs, só frente</t>
  </si>
  <si>
    <t>jogo da memoria</t>
  </si>
  <si>
    <t>200 impressões color, A3, 90 grs, só frente</t>
  </si>
  <si>
    <t>Regua de avaliação 1</t>
  </si>
  <si>
    <t>200 impressões color, A4, 90grs, só frente</t>
  </si>
  <si>
    <t>Regua de avaliação 2</t>
  </si>
  <si>
    <t>Painel gestão</t>
  </si>
  <si>
    <t>2 impressões color, cartaz, 150cm x 100cm, papel resistente (similar)</t>
  </si>
  <si>
    <t>Cursos Autoinstrucionais</t>
  </si>
  <si>
    <t>1 impressão color, cartaz, papel firme só frente</t>
  </si>
  <si>
    <t>sem prazo</t>
  </si>
  <si>
    <t>fichas de planejamento aula</t>
  </si>
  <si>
    <t xml:space="preserve">15 impressões color, 23cm x 15,3cm, </t>
  </si>
  <si>
    <t>Banner  Avalanche 4 e 5</t>
  </si>
  <si>
    <t>Banner 1 x 1,2 (sem cortar o espaço da madeira)</t>
  </si>
  <si>
    <t>Warley/Marcia</t>
  </si>
  <si>
    <t>Identificadores de mesa</t>
  </si>
  <si>
    <t>91 impressões color, A4, 180 grs, só frente</t>
  </si>
  <si>
    <t>Marcos Traldi</t>
  </si>
  <si>
    <t>folders CEAE/SP</t>
  </si>
  <si>
    <t>5300 impressões color, A4, 75 grs, so frente</t>
  </si>
  <si>
    <t>Folders DICON</t>
  </si>
  <si>
    <t>2 impressões color, A4, papel brilhante, frente e verso</t>
  </si>
  <si>
    <t>Isis</t>
  </si>
  <si>
    <t xml:space="preserve">CONTRATO DA CONVIVÊNCIA </t>
  </si>
  <si>
    <t>800 impressões color, A4 75grs</t>
  </si>
  <si>
    <t>TERMOMÊTRO</t>
  </si>
  <si>
    <t>400 impressões color, A4, 75grs</t>
  </si>
  <si>
    <t>Tipo de Indisciplinba</t>
  </si>
  <si>
    <t>CASOS 1_5</t>
  </si>
  <si>
    <t>6 impressões color, A4, 75grs</t>
  </si>
  <si>
    <t>Linha do tempo</t>
  </si>
  <si>
    <t>Definições</t>
  </si>
  <si>
    <t>Escudo</t>
  </si>
  <si>
    <t>Primeiros Passos</t>
  </si>
  <si>
    <t xml:space="preserve">1000 Livretos color, A4, 75grs </t>
  </si>
  <si>
    <t>ESTAÇÃO1</t>
  </si>
  <si>
    <t>24 impressões color, A2, gramatura boa</t>
  </si>
  <si>
    <t>ESTAÇÃO2</t>
  </si>
  <si>
    <t>ESTAÇÃO3</t>
  </si>
  <si>
    <t>ESTAÇÃO4</t>
  </si>
  <si>
    <t>ESTAÇÃO5</t>
  </si>
  <si>
    <t>ESTAÇÃO6</t>
  </si>
  <si>
    <t xml:space="preserve">TEG PIRULITO </t>
  </si>
  <si>
    <t>4 impressões color, gramatura boa, frente e verso</t>
  </si>
  <si>
    <t>TERMOMÊTRO G</t>
  </si>
  <si>
    <t>24 impressões color, gramatura boa</t>
  </si>
  <si>
    <t>Avaliação SUP_PEC</t>
  </si>
  <si>
    <t>130 impressões color, A4, 75grs</t>
  </si>
  <si>
    <t>UMA CONVVERSA SOBRE DICIPLINA ESCOLAR</t>
  </si>
  <si>
    <t>300 impressões color, A4, 75grs</t>
  </si>
  <si>
    <t>Perspectivas de Vivências e Reflexões para o POC</t>
  </si>
  <si>
    <t>800 impressões color, A4, 75grs, frente e verso</t>
  </si>
  <si>
    <t>Avatar</t>
  </si>
  <si>
    <t>130 color, cartão, só frente</t>
  </si>
  <si>
    <t>Cartas</t>
  </si>
  <si>
    <t>131 color, cartão, só frente</t>
  </si>
  <si>
    <t>Coração</t>
  </si>
  <si>
    <t>800 impressões color, A4, 90 grs</t>
  </si>
  <si>
    <t>Fluxograma</t>
  </si>
  <si>
    <t>800 impressões color, frente e verso, 75grs</t>
  </si>
  <si>
    <t>Tabuleiro - Rota da Prevenção</t>
  </si>
  <si>
    <t>130 impressões color, A2, gramatura boa</t>
  </si>
  <si>
    <t>Jogo Oficina - Convivência</t>
  </si>
  <si>
    <t>103 cartões color, frente e verso</t>
  </si>
  <si>
    <t>Tabuleiro - Rota da Convivencia</t>
  </si>
  <si>
    <t>103 impressões color, A2, gramatura boa</t>
  </si>
  <si>
    <t>20 impressõe color, A4, cartão</t>
  </si>
  <si>
    <t>Regras Jogo da Convivência</t>
  </si>
  <si>
    <t>103 impressões color, A5, frente e verso,  90 grs</t>
  </si>
  <si>
    <t>Escudo da Prevenção</t>
  </si>
  <si>
    <t>76 impressões color, A2, gramatura boa</t>
  </si>
  <si>
    <t>Fluxograma de Prevenção</t>
  </si>
  <si>
    <t>250 impressões color, A4, sulfite</t>
  </si>
  <si>
    <t>Planta Baixa</t>
  </si>
  <si>
    <t>130 impressões pb, A2, 75grs</t>
  </si>
  <si>
    <t>Situação de Conflito Cartas</t>
  </si>
  <si>
    <t>103 impressões color, cartao, A4, frente e verso</t>
  </si>
  <si>
    <t>Situação de Conflito</t>
  </si>
  <si>
    <t>103 impressões color, A2, 75grs</t>
  </si>
  <si>
    <t>FLYER_EVENTO_CONVIVA_PEC</t>
  </si>
  <si>
    <t>250 flyers color, A5, frente e verso</t>
  </si>
  <si>
    <t>FLYER_EVENTO_CONVIVA_POC</t>
  </si>
  <si>
    <t>750 flyers, color, A5, frente e verso</t>
  </si>
  <si>
    <t>Estudo de caso</t>
  </si>
  <si>
    <t xml:space="preserve">premiação encontro de líderes </t>
  </si>
  <si>
    <t>300 canudos brancos e 300 canudos amarelos</t>
  </si>
  <si>
    <t>Warley/Giovanna</t>
  </si>
  <si>
    <t>cartões de acesso cultural</t>
  </si>
  <si>
    <t>179 cartões color, 19cmx7cm, papel brilhante, 180grs frente e verso</t>
  </si>
  <si>
    <t>Crendenciais</t>
  </si>
  <si>
    <t>1520 impressões, color, 09cmx15cm, couche, 300grs</t>
  </si>
  <si>
    <t xml:space="preserve">Certificado </t>
  </si>
  <si>
    <t>1 impressão color, A4, papel brilhante ou semelhante, 180 grs só frente</t>
  </si>
  <si>
    <t>Warley /Andre</t>
  </si>
  <si>
    <t>Folder DICON</t>
  </si>
  <si>
    <t>7 impressões color, A4, papel couche, frente e verso</t>
  </si>
  <si>
    <t>Adesivo guarda-chuva</t>
  </si>
  <si>
    <t>11 impressoes pb, A4, papel adesivo, so frente</t>
  </si>
  <si>
    <t>Jennifer</t>
  </si>
  <si>
    <t>Quadro de Evidencias</t>
  </si>
  <si>
    <t>1100 impressões color, A4, sulfite, só frente</t>
  </si>
  <si>
    <t>Protocolo de Observação</t>
  </si>
  <si>
    <t>1100 impressões pb, A4, sulfite, frente e verso</t>
  </si>
  <si>
    <t>Milene</t>
  </si>
  <si>
    <t>Cartão de visita</t>
  </si>
  <si>
    <t>01 cento Cartão de visita F/V</t>
  </si>
  <si>
    <t>Edmo</t>
  </si>
  <si>
    <t xml:space="preserve">Apostila </t>
  </si>
  <si>
    <t>50 copias color, A4, sulfite, frente e verso, grampeado</t>
  </si>
  <si>
    <t>Painel de Indicadores SUCOR</t>
  </si>
  <si>
    <t>9 revistas</t>
  </si>
  <si>
    <t>Warley/Carol</t>
  </si>
  <si>
    <t>Manual SUCOR</t>
  </si>
  <si>
    <t>2 impressões color, A4, sulfite, frente e verso</t>
  </si>
  <si>
    <t>Warley/Andre</t>
  </si>
  <si>
    <t>2 x 9 impressões color, A4, papel couche, frente e verso</t>
  </si>
  <si>
    <t>Warley/Maria Isabel</t>
  </si>
  <si>
    <t>APRES.LIDERES-P/-APRENDIZAGEM-DIRETORES_2026</t>
  </si>
  <si>
    <t>603 trofeus</t>
  </si>
  <si>
    <t>22 placas numeração das salas</t>
  </si>
  <si>
    <t>Maria Isabel</t>
  </si>
  <si>
    <t>Relatório gerencial do Tarefa SP</t>
  </si>
  <si>
    <t>2 x 2500 + 100 impressões color, A4, sulfite, só frente</t>
  </si>
  <si>
    <t>"Tabuleiro - A2"</t>
  </si>
  <si>
    <t>90 +10 impressões color, A2, gramatura boa</t>
  </si>
  <si>
    <t>Cartas para Tabuleiro (Pessoas da Escola)</t>
  </si>
  <si>
    <t>6 x 100 cartões, 7 cm x 10 cm, frente e verso</t>
  </si>
  <si>
    <t>Carta - Missão 2</t>
  </si>
  <si>
    <t>4 x 50 cartões 10 cm x 15 cm, frente e verso</t>
  </si>
  <si>
    <t xml:space="preserve">Carta Olho do Rei </t>
  </si>
  <si>
    <t>20 cartões, 7 cm x 10 cm, frente e verso</t>
  </si>
  <si>
    <t xml:space="preserve">Sistematização e Conquistas </t>
  </si>
  <si>
    <t>3500 impressões, A4, sulfite, só frente</t>
  </si>
  <si>
    <t>Adeviso modelo 1</t>
  </si>
  <si>
    <t>10500 adesivos redondos, A4</t>
  </si>
  <si>
    <t>Registro das evidências Atividade - registro das evidências</t>
  </si>
  <si>
    <t>4 x 2700 + 200 impressões color, A4, frente e verso</t>
  </si>
  <si>
    <t xml:space="preserve">Brochure – SÃO-PAULO-CONNECTION </t>
  </si>
  <si>
    <t>50 impressões de brochura color, frente e verso papel revista</t>
  </si>
  <si>
    <t>Rosangela</t>
  </si>
  <si>
    <t>Cronograma - Museu Catavento</t>
  </si>
  <si>
    <t>210 impressões color, A4, 150grs, couche</t>
  </si>
  <si>
    <t>Arlet</t>
  </si>
  <si>
    <t>Marcador de pagina</t>
  </si>
  <si>
    <t>5100 marcadores de paginas color, 5 cm x 18 cm, só frente</t>
  </si>
  <si>
    <t>Mapas de Enigmas</t>
  </si>
  <si>
    <t>2 x 680 impressões color, A2, 90grs, só frente</t>
  </si>
  <si>
    <t>Chaves - Cards</t>
  </si>
  <si>
    <t>2 x 680 impressões color, 7 cm x10 cm, cartão, frente e verso</t>
  </si>
  <si>
    <t>Carta do diretor</t>
  </si>
  <si>
    <t>2 x 680 impressões color, A4, 90grs, só frente</t>
  </si>
  <si>
    <t>Nailton</t>
  </si>
  <si>
    <t xml:space="preserve">Painéis de Gestão à Vista </t>
  </si>
  <si>
    <t>5 Impressões cartazes colantes, coloridas, somente frente, tamanho A1</t>
  </si>
  <si>
    <t>Julia Reis</t>
  </si>
  <si>
    <t>Mapas de polos regionais do Estado de São Paulo</t>
  </si>
  <si>
    <t>2 impressões color, 1,19 m x 0,83, só frente</t>
  </si>
  <si>
    <t>Mapa de Governança</t>
  </si>
  <si>
    <t>1 impressão color, A3</t>
  </si>
  <si>
    <t>3 já entreges</t>
  </si>
  <si>
    <t>2x 12 impressões color, A4, papel couche, frente e verso</t>
  </si>
  <si>
    <t>Valor do Item</t>
  </si>
  <si>
    <t>Valor Reajustado</t>
  </si>
  <si>
    <t>Quantidade Empenhada</t>
  </si>
  <si>
    <t>Saldo a Utilizar</t>
  </si>
  <si>
    <t>Valor Empenhado</t>
  </si>
  <si>
    <t>Valor Utilizado</t>
  </si>
  <si>
    <t>Saldo a utilizar</t>
  </si>
  <si>
    <r>
      <t xml:space="preserve">Banner - </t>
    </r>
    <r>
      <rPr>
        <sz val="12"/>
        <color theme="0"/>
        <rFont val="Segoe UI"/>
        <family val="2"/>
      </rPr>
      <t>Banner em lona com impressão digital de alta qualidade, medida 1,20m x 0,90m acabamento de madeira e ponta de PVC, com tripé.</t>
    </r>
  </si>
  <si>
    <r>
      <t xml:space="preserve">Banner - </t>
    </r>
    <r>
      <rPr>
        <sz val="12"/>
        <color theme="0"/>
        <rFont val="Segoe UI"/>
        <family val="2"/>
      </rPr>
      <t>Banner em lona com impressão digital de alta qualidade, medida 1,50m x 0,90m acabamento de madeira e ponta de PVC, com tripé.</t>
    </r>
  </si>
  <si>
    <r>
      <t xml:space="preserve">Banner- </t>
    </r>
    <r>
      <rPr>
        <sz val="12"/>
        <color theme="0"/>
        <rFont val="Segoe UI"/>
        <family val="2"/>
      </rPr>
      <t>Banner em lona com impressão digital de alta qualidade, medida 1,30X 1,80m acabamento de madeira e ponta de PVC, com tripé.</t>
    </r>
  </si>
  <si>
    <r>
      <t xml:space="preserve">Cartão Cerimonial - </t>
    </r>
    <r>
      <rPr>
        <sz val="12"/>
        <color theme="0"/>
        <rFont val="Segoe UI"/>
        <family val="2"/>
      </rPr>
      <t>Cartão cerimonial formato 12,5cm x 8,5cm, papel cartão supremo 330gr impressão 1 x 1 cores</t>
    </r>
  </si>
  <si>
    <r>
      <t>Cartão Cerimonial -</t>
    </r>
    <r>
      <rPr>
        <sz val="12"/>
        <color theme="0"/>
        <rFont val="Segoe UI"/>
        <family val="2"/>
      </rPr>
      <t>Cartão cerimonial formato 12,5cm x 8,5cm, papel cartão supremo 330gr impressão 4 x 0 cores</t>
    </r>
  </si>
  <si>
    <r>
      <t xml:space="preserve">Cartão de visita - </t>
    </r>
    <r>
      <rPr>
        <sz val="12"/>
        <color theme="0"/>
        <rFont val="Segoe UI"/>
        <family val="2"/>
      </rPr>
      <t>Cartão de visita formato 9,5cm x 5,5cm, acabamento refile.</t>
    </r>
  </si>
  <si>
    <r>
      <t xml:space="preserve">Cartão de visita - </t>
    </r>
    <r>
      <rPr>
        <sz val="12"/>
        <color theme="0"/>
        <rFont val="Segoe UI"/>
        <family val="2"/>
      </rPr>
      <t>EM BRAILEARTE/MATRIZES ,TRADUÇÃO E REVISÃO ORTOGRÁFICA EM BRAILE POR CONTA DA CONTRATADA Cartão de 9,5cm(L) x 5,5cm(A); papel duplex 300gr ou cartão, impressão 4X0 cores, gravação braile na frente.</t>
    </r>
  </si>
  <si>
    <r>
      <t>Cartaz -</t>
    </r>
    <r>
      <rPr>
        <sz val="12"/>
        <color theme="0"/>
        <rFont val="Segoe UI"/>
        <family val="2"/>
      </rPr>
      <t>Cartaz formato 60cm x 40cm, papel couche 150gr, impressão 4 x 0 cores, acabamento dupla face e refile</t>
    </r>
  </si>
  <si>
    <r>
      <t xml:space="preserve">Cartilha- </t>
    </r>
    <r>
      <rPr>
        <sz val="12"/>
        <color theme="0"/>
        <rFont val="Segoe UI"/>
        <family val="2"/>
      </rPr>
      <t>Cartilha formato 29,7cm x 21cm, A4 fechado, 96 páginas, papel couche 115gr, impressão 4 x 4 cores, acabamento hotmelt</t>
    </r>
  </si>
  <si>
    <r>
      <t>Cartilha/ book -</t>
    </r>
    <r>
      <rPr>
        <sz val="12"/>
        <color theme="0"/>
        <rFont val="Segoe UI"/>
        <family val="2"/>
      </rPr>
      <t>Cartilha formato 29,7cm x 21cm, 96 páginas, papel couche 115gr, impressão 4 x 4 cores, capa dura</t>
    </r>
  </si>
  <si>
    <r>
      <t xml:space="preserve">Certificado - </t>
    </r>
    <r>
      <rPr>
        <sz val="12"/>
        <color theme="0"/>
        <rFont val="Segoe UI"/>
        <family val="2"/>
      </rPr>
      <t>Certificado formato 21cm x 29,7 - A4, papel couche brilho 300gr, impressão 4 x 0 cores, acabamento refile</t>
    </r>
  </si>
  <si>
    <r>
      <t xml:space="preserve">Convite - </t>
    </r>
    <r>
      <rPr>
        <sz val="12"/>
        <color theme="0"/>
        <rFont val="Segoe UI"/>
        <family val="2"/>
      </rPr>
      <t>Convite formato 17cm x 9cm, papel couche brilho 170gr, numerado impressão 4 x 0 cores, acabamento refile</t>
    </r>
  </si>
  <si>
    <r>
      <t xml:space="preserve">Folheto- </t>
    </r>
    <r>
      <rPr>
        <sz val="12"/>
        <color theme="0"/>
        <rFont val="Segoe UI"/>
        <family val="2"/>
      </rPr>
      <t>Folheto formato 15cm x 21cm, fechado, papel couche 115gr, impressão 4 x 0 cores, acabamento 2 dobras e refile</t>
    </r>
  </si>
  <si>
    <r>
      <t xml:space="preserve">Folheto - </t>
    </r>
    <r>
      <rPr>
        <sz val="12"/>
        <color theme="0"/>
        <rFont val="Segoe UI"/>
        <family val="2"/>
      </rPr>
      <t>Folheto formato 15cm x 21cm fechado, papel couche 115gr, impressão 4 x 4 cores, acabamento 2 dobras e refile</t>
    </r>
  </si>
  <si>
    <r>
      <t xml:space="preserve">Folder- </t>
    </r>
    <r>
      <rPr>
        <sz val="12"/>
        <color theme="0"/>
        <rFont val="Segoe UI"/>
        <family val="2"/>
      </rPr>
      <t>Folder formato 29,7cm x 21cm aberto, papel couche 115gr, impressão 4 x 4 cores, acabamento 1 ou 2 dobras refile</t>
    </r>
  </si>
  <si>
    <r>
      <t xml:space="preserve">Livreto - </t>
    </r>
    <r>
      <rPr>
        <sz val="12"/>
        <color theme="0"/>
        <rFont val="Segoe UI"/>
        <family val="2"/>
      </rPr>
      <t>Livreto formato 15,5cm x 11,5cm, 48 páginas, papel miolo couche 115gr, impressão 4 x 4 cores, capa papel couche brilho 150gr impressão 4 x 4 cores, acabamento grampeado e refile</t>
    </r>
  </si>
  <si>
    <r>
      <t xml:space="preserve">Livreto - </t>
    </r>
    <r>
      <rPr>
        <sz val="12"/>
        <color theme="0"/>
        <rFont val="Segoe UI"/>
        <family val="2"/>
      </rPr>
      <t>Livreto formato 15cm x 21cm, 48 páginas, papel miolo couche 115gr, impressão 4 x 4 cores, capa papel couche brilho 150gr impressão 4 x 4 cores, acabamento grampeado e refile</t>
    </r>
  </si>
  <si>
    <r>
      <t>Cópias em preto e branco</t>
    </r>
    <r>
      <rPr>
        <sz val="12"/>
        <color theme="0"/>
        <rFont val="Segoe UI"/>
        <family val="2"/>
      </rPr>
      <t xml:space="preserve">, no tamanho A3, em sulfite 75g – </t>
    </r>
    <r>
      <rPr>
        <b/>
        <sz val="12"/>
        <color theme="0"/>
        <rFont val="Segoe UI"/>
        <family val="2"/>
      </rPr>
      <t>só frente</t>
    </r>
    <r>
      <rPr>
        <sz val="12"/>
        <color theme="0"/>
        <rFont val="Segoe UI"/>
        <family val="2"/>
      </rPr>
      <t xml:space="preserve"> (297 × 420mm).</t>
    </r>
  </si>
  <si>
    <r>
      <t>Cópias em preto e branco</t>
    </r>
    <r>
      <rPr>
        <sz val="12"/>
        <color theme="0"/>
        <rFont val="Segoe UI"/>
        <family val="2"/>
      </rPr>
      <t xml:space="preserve">, no tamanho A4, em sulfite 75g – </t>
    </r>
    <r>
      <rPr>
        <b/>
        <sz val="12"/>
        <color theme="0"/>
        <rFont val="Segoe UI"/>
        <family val="2"/>
      </rPr>
      <t>só frente</t>
    </r>
    <r>
      <rPr>
        <sz val="12"/>
        <color theme="0"/>
        <rFont val="Segoe UI"/>
        <family val="2"/>
      </rPr>
      <t xml:space="preserve"> (210x297mm).</t>
    </r>
  </si>
  <si>
    <r>
      <t>Cópias Coloridas, no tamanho A3</t>
    </r>
    <r>
      <rPr>
        <sz val="12"/>
        <color theme="0"/>
        <rFont val="Segoe UI"/>
        <family val="2"/>
      </rPr>
      <t xml:space="preserve">, em sulfite 75g – </t>
    </r>
    <r>
      <rPr>
        <b/>
        <sz val="12"/>
        <color theme="0"/>
        <rFont val="Segoe UI"/>
        <family val="2"/>
      </rPr>
      <t>só frente</t>
    </r>
    <r>
      <rPr>
        <sz val="12"/>
        <color theme="0"/>
        <rFont val="Segoe UI"/>
        <family val="2"/>
      </rPr>
      <t xml:space="preserve"> (297 × 420mm).</t>
    </r>
  </si>
  <si>
    <r>
      <t>Cópias Coloridas, no tamanho A4</t>
    </r>
    <r>
      <rPr>
        <sz val="12"/>
        <color theme="0"/>
        <rFont val="Segoe UI"/>
        <family val="2"/>
      </rPr>
      <t xml:space="preserve">, em sulfite 75g – </t>
    </r>
    <r>
      <rPr>
        <b/>
        <sz val="12"/>
        <color theme="0"/>
        <rFont val="Segoe UI"/>
        <family val="2"/>
      </rPr>
      <t>só frente</t>
    </r>
    <r>
      <rPr>
        <sz val="12"/>
        <color theme="0"/>
        <rFont val="Segoe UI"/>
        <family val="2"/>
      </rPr>
      <t xml:space="preserve"> (210x297mm).</t>
    </r>
  </si>
  <si>
    <r>
      <t>Cópias em preto e branco, no tamanho A3,</t>
    </r>
    <r>
      <rPr>
        <sz val="12"/>
        <color theme="0"/>
        <rFont val="Segoe UI"/>
        <family val="2"/>
      </rPr>
      <t xml:space="preserve"> em sulfite 75g – </t>
    </r>
    <r>
      <rPr>
        <b/>
        <sz val="12"/>
        <color theme="0"/>
        <rFont val="Segoe UI"/>
        <family val="2"/>
      </rPr>
      <t>frente e verso</t>
    </r>
    <r>
      <rPr>
        <sz val="12"/>
        <color theme="0"/>
        <rFont val="Segoe UI"/>
        <family val="2"/>
      </rPr>
      <t xml:space="preserve"> (297 × 420mm).</t>
    </r>
  </si>
  <si>
    <r>
      <t>Cópias em preto e branco, no tamanho A4</t>
    </r>
    <r>
      <rPr>
        <sz val="12"/>
        <color theme="0"/>
        <rFont val="Segoe UI"/>
        <family val="2"/>
      </rPr>
      <t xml:space="preserve">, em sulfite 75g – </t>
    </r>
    <r>
      <rPr>
        <b/>
        <sz val="12"/>
        <color theme="0"/>
        <rFont val="Segoe UI"/>
        <family val="2"/>
      </rPr>
      <t>frente e verso</t>
    </r>
    <r>
      <rPr>
        <sz val="12"/>
        <color theme="0"/>
        <rFont val="Segoe UI"/>
        <family val="2"/>
      </rPr>
      <t xml:space="preserve"> (210x297mm).</t>
    </r>
  </si>
  <si>
    <r>
      <t>Cópias Coloridas, no tamanho A3</t>
    </r>
    <r>
      <rPr>
        <sz val="12"/>
        <color theme="0"/>
        <rFont val="Segoe UI"/>
        <family val="2"/>
      </rPr>
      <t xml:space="preserve">, em sulfite 75g – </t>
    </r>
    <r>
      <rPr>
        <b/>
        <sz val="12"/>
        <color theme="0"/>
        <rFont val="Segoe UI"/>
        <family val="2"/>
      </rPr>
      <t>frente e verso</t>
    </r>
    <r>
      <rPr>
        <sz val="12"/>
        <color theme="0"/>
        <rFont val="Segoe UI"/>
        <family val="2"/>
      </rPr>
      <t xml:space="preserve"> (297 × 420mm).</t>
    </r>
  </si>
  <si>
    <r>
      <t>Cópias Coloridas, no tamanho A4,</t>
    </r>
    <r>
      <rPr>
        <sz val="12"/>
        <color theme="0"/>
        <rFont val="Segoe UI"/>
        <family val="2"/>
      </rPr>
      <t xml:space="preserve"> em sulfite 75g – </t>
    </r>
    <r>
      <rPr>
        <b/>
        <sz val="12"/>
        <color theme="0"/>
        <rFont val="Segoe UI"/>
        <family val="2"/>
      </rPr>
      <t>frente e verso</t>
    </r>
    <r>
      <rPr>
        <sz val="12"/>
        <color theme="0"/>
        <rFont val="Segoe UI"/>
        <family val="2"/>
      </rPr>
      <t xml:space="preserve"> (210x297mm).</t>
    </r>
  </si>
  <si>
    <r>
      <t>Cópias em preto e branco, no tamanho Ofício</t>
    </r>
    <r>
      <rPr>
        <sz val="12"/>
        <color theme="0"/>
        <rFont val="Segoe UI"/>
        <family val="2"/>
      </rPr>
      <t xml:space="preserve"> 2, em sulfite 75g – </t>
    </r>
    <r>
      <rPr>
        <b/>
        <sz val="12"/>
        <color theme="0"/>
        <rFont val="Segoe UI"/>
        <family val="2"/>
      </rPr>
      <t>só frente</t>
    </r>
    <r>
      <rPr>
        <sz val="12"/>
        <color theme="0"/>
        <rFont val="Segoe UI"/>
        <family val="2"/>
      </rPr>
      <t xml:space="preserve"> (216 x 330 mm).</t>
    </r>
  </si>
  <si>
    <r>
      <t>Cópias em preto e branco, no tamanho Ofício 2</t>
    </r>
    <r>
      <rPr>
        <sz val="12"/>
        <color theme="0"/>
        <rFont val="Segoe UI"/>
        <family val="2"/>
      </rPr>
      <t xml:space="preserve">, em sulfite 75g – </t>
    </r>
    <r>
      <rPr>
        <b/>
        <sz val="12"/>
        <color theme="0"/>
        <rFont val="Segoe UI"/>
        <family val="2"/>
      </rPr>
      <t>frente e verso</t>
    </r>
    <r>
      <rPr>
        <sz val="12"/>
        <color theme="0"/>
        <rFont val="Segoe UI"/>
        <family val="2"/>
      </rPr>
      <t xml:space="preserve"> (216 x 330 mm).</t>
    </r>
  </si>
  <si>
    <r>
      <t>Cópias coloridas, no tamanho Ofício 2</t>
    </r>
    <r>
      <rPr>
        <sz val="12"/>
        <color theme="0"/>
        <rFont val="Segoe UI"/>
        <family val="2"/>
      </rPr>
      <t xml:space="preserve">, em sulfite 75g – </t>
    </r>
    <r>
      <rPr>
        <b/>
        <sz val="12"/>
        <color theme="0"/>
        <rFont val="Segoe UI"/>
        <family val="2"/>
      </rPr>
      <t>só frente</t>
    </r>
    <r>
      <rPr>
        <sz val="12"/>
        <color theme="0"/>
        <rFont val="Segoe UI"/>
        <family val="2"/>
      </rPr>
      <t xml:space="preserve"> (216 x 330 mm).</t>
    </r>
  </si>
  <si>
    <r>
      <t>Cópias coloridas, no tamanho Ofício 2</t>
    </r>
    <r>
      <rPr>
        <sz val="12"/>
        <color theme="0"/>
        <rFont val="Segoe UI"/>
        <family val="2"/>
      </rPr>
      <t xml:space="preserve">, em sulfite 75g – </t>
    </r>
    <r>
      <rPr>
        <b/>
        <sz val="12"/>
        <color theme="0"/>
        <rFont val="Segoe UI"/>
        <family val="2"/>
      </rPr>
      <t>frente e verso</t>
    </r>
    <r>
      <rPr>
        <sz val="12"/>
        <color theme="0"/>
        <rFont val="Segoe UI"/>
        <family val="2"/>
      </rPr>
      <t xml:space="preserve"> (216 x 330 mm).</t>
    </r>
  </si>
  <si>
    <r>
      <t>Encadernação (até 100 folhas),</t>
    </r>
    <r>
      <rPr>
        <sz val="12"/>
        <color theme="0"/>
        <rFont val="Segoe UI"/>
        <family val="2"/>
      </rPr>
      <t xml:space="preserve"> em espiral com capa de PVC transparente na frente e com cor nas costas</t>
    </r>
  </si>
  <si>
    <r>
      <t>Encadernação pequena (101 a 250 folhas),</t>
    </r>
    <r>
      <rPr>
        <sz val="12"/>
        <color theme="0"/>
        <rFont val="Segoe UI"/>
        <family val="2"/>
      </rPr>
      <t xml:space="preserve"> em espiral com capa de PVC transparente na frente e com cor nas costas</t>
    </r>
  </si>
  <si>
    <r>
      <t>Encadernação (acima de 251 folhas),</t>
    </r>
    <r>
      <rPr>
        <sz val="12"/>
        <color theme="0"/>
        <rFont val="Segoe UI"/>
        <family val="2"/>
      </rPr>
      <t xml:space="preserve"> em espiral com capa de PVC transparente na frente e com cor nas costas</t>
    </r>
  </si>
  <si>
    <r>
      <t>Encadernação (até 100 folhas)</t>
    </r>
    <r>
      <rPr>
        <sz val="12"/>
        <color theme="0"/>
        <rFont val="Segoe UI"/>
        <family val="2"/>
      </rPr>
      <t xml:space="preserve"> em hot-melt</t>
    </r>
  </si>
  <si>
    <r>
      <t>Encadernação (101 a 250 folhas)</t>
    </r>
    <r>
      <rPr>
        <sz val="12"/>
        <color theme="0"/>
        <rFont val="Segoe UI"/>
        <family val="2"/>
      </rPr>
      <t xml:space="preserve"> em hot-melt</t>
    </r>
  </si>
  <si>
    <r>
      <t>Encadernação (acima de 251 folhas)</t>
    </r>
    <r>
      <rPr>
        <sz val="12"/>
        <color theme="0"/>
        <rFont val="Segoe UI"/>
        <family val="2"/>
      </rPr>
      <t xml:space="preserve"> em hot-melt</t>
    </r>
  </si>
  <si>
    <r>
      <t>Encadernação (até 100 folhas),</t>
    </r>
    <r>
      <rPr>
        <sz val="12"/>
        <color theme="0"/>
        <rFont val="Segoe UI"/>
        <family val="2"/>
      </rPr>
      <t xml:space="preserve"> em grampo canoa com capa</t>
    </r>
  </si>
  <si>
    <r>
      <t>Flyer</t>
    </r>
    <r>
      <rPr>
        <sz val="12"/>
        <color theme="0"/>
        <rFont val="Segoe UI"/>
        <family val="2"/>
      </rPr>
      <t xml:space="preserve"> Tamanho A5, Papel Couché Brilho, 150g/M2 , 4x4 Cores</t>
    </r>
  </si>
  <si>
    <r>
      <t>Flyer</t>
    </r>
    <r>
      <rPr>
        <sz val="12"/>
        <color theme="0"/>
        <rFont val="Segoe UI"/>
        <family val="2"/>
      </rPr>
      <t xml:space="preserve"> tamanho A5, papel couché brilhante, impressão 4x0 cores. 90 gr/m2</t>
    </r>
  </si>
  <si>
    <r>
      <t>Encadernação capa dura</t>
    </r>
    <r>
      <rPr>
        <sz val="12"/>
        <color theme="0"/>
        <rFont val="Segoe UI"/>
        <family val="2"/>
      </rPr>
      <t>, com tratamento impermeabilizante,  formato A4; Os trabalhos devem ser costurados na lombada em forma de acabamento e colados a uma capa dura colorida e com descrições na capa e nas lombadas</t>
    </r>
  </si>
  <si>
    <r>
      <t>Serviço de impressão/plotagem</t>
    </r>
    <r>
      <rPr>
        <sz val="12"/>
        <color theme="0"/>
        <rFont val="Segoe UI"/>
        <family val="2"/>
      </rPr>
      <t xml:space="preserve"> colorida de Projetos de Engenharia incluso dobragem conforme ABNT/NBR 13142/1999, formatos série ABNT A0. Impressão a laser ou tinta térmica em papel sulfite branco, gramatura mínima 75g/m2, resolução de impressão igual ou superior a 1200dpi x 1200 dpi (ponto por polegada quadrada), a partir de arquivos digitais a serem fornecidos pela CONTRATANTE</t>
    </r>
  </si>
  <si>
    <r>
      <t>Serviço de impressão/plotagem</t>
    </r>
    <r>
      <rPr>
        <sz val="12"/>
        <color theme="0"/>
        <rFont val="Segoe UI"/>
        <family val="2"/>
      </rPr>
      <t xml:space="preserve"> colorida de Projetos de Engenharia incluso dobragem conforme ABNT/NBR 13142/1999, formatos série ABNT A1. Impressão a laser ou tinta térmica em papel sulfite branco, gramatura mínima 75g/m2, resolução de impressão igual ou superior a 1200dpi x 1200 dpi (ponto por polegada quadrada), a partir de arquivos digitais a serem fornecidos pela CONTRATANTE</t>
    </r>
  </si>
  <si>
    <r>
      <t>Serviço de impressão/plotagem</t>
    </r>
    <r>
      <rPr>
        <sz val="12"/>
        <color theme="0"/>
        <rFont val="Segoe UI"/>
        <family val="2"/>
      </rPr>
      <t xml:space="preserve"> colorida de Projetos de Engenharia incluso dobragem conforme ABNT/NBR 13142/1999, formatos série ABNT A2. Impressão a laser ou tinta térmica em papel sulfite branco, gramatura mínima 75g/m2, resolução de impressão igual ou superior a 1200dpi x 1200 dpi (ponto por polegada quadrada), a partir de arquivos digitais a serem fornecidos pela CONTRATANTE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</si>
</sst>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Segoe UI"/>
      <family val="2"/>
    </font>
    <font>
      <sz val="12"/>
      <color theme="0"/>
      <name val="Segoe U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2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justify" vertical="center" wrapText="1"/>
    </xf>
    <xf numFmtId="44" fontId="0" fillId="0" borderId="1" xfId="0" applyNumberFormat="1" applyBorder="1"/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6" fillId="2" borderId="2" xfId="0" applyFont="1" applyFill="1" applyBorder="1"/>
    <xf numFmtId="0" fontId="7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vertical="center"/>
    </xf>
    <xf numFmtId="44" fontId="4" fillId="0" borderId="3" xfId="0" applyNumberFormat="1" applyFont="1" applyBorder="1" applyAlignment="1">
      <alignment horizontal="center" vertical="center"/>
    </xf>
    <xf numFmtId="44" fontId="0" fillId="0" borderId="0" xfId="0" applyNumberFormat="1"/>
    <xf numFmtId="0" fontId="9" fillId="0" borderId="0" xfId="0" applyFont="1"/>
    <xf numFmtId="44" fontId="6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10" fillId="2" borderId="1" xfId="0" applyNumberFormat="1" applyFont="1" applyFill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3" fillId="0" borderId="0" xfId="0" applyFont="1"/>
    <xf numFmtId="0" fontId="0" fillId="3" borderId="1" xfId="0" applyFill="1" applyBorder="1"/>
    <xf numFmtId="44" fontId="0" fillId="3" borderId="1" xfId="0" applyNumberFormat="1" applyFill="1" applyBorder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4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16" fontId="0" fillId="0" borderId="0" xfId="0" applyNumberFormat="1"/>
    <xf numFmtId="44" fontId="0" fillId="0" borderId="0" xfId="1" applyFont="1" applyFill="1"/>
    <xf numFmtId="0" fontId="0" fillId="4" borderId="1" xfId="0" applyFill="1" applyBorder="1"/>
    <xf numFmtId="0" fontId="0" fillId="5" borderId="1" xfId="0" applyFill="1" applyBorder="1"/>
    <xf numFmtId="44" fontId="0" fillId="5" borderId="1" xfId="0" applyNumberFormat="1" applyFill="1" applyBorder="1"/>
    <xf numFmtId="0" fontId="0" fillId="6" borderId="1" xfId="0" applyFill="1" applyBorder="1"/>
    <xf numFmtId="44" fontId="0" fillId="6" borderId="1" xfId="0" applyNumberFormat="1" applyFill="1" applyBorder="1"/>
    <xf numFmtId="17" fontId="0" fillId="7" borderId="1" xfId="0" applyNumberFormat="1" applyFill="1" applyBorder="1"/>
    <xf numFmtId="0" fontId="0" fillId="7" borderId="1" xfId="0" applyFill="1" applyBorder="1"/>
    <xf numFmtId="44" fontId="0" fillId="7" borderId="1" xfId="0" applyNumberFormat="1" applyFill="1" applyBorder="1"/>
    <xf numFmtId="17" fontId="0" fillId="8" borderId="1" xfId="0" applyNumberFormat="1" applyFill="1" applyBorder="1"/>
    <xf numFmtId="0" fontId="0" fillId="8" borderId="1" xfId="0" applyFill="1" applyBorder="1"/>
    <xf numFmtId="44" fontId="0" fillId="8" borderId="1" xfId="0" applyNumberFormat="1" applyFill="1" applyBorder="1"/>
    <xf numFmtId="44" fontId="0" fillId="0" borderId="0" xfId="1" applyFont="1" applyFill="1" applyBorder="1" applyAlignment="1"/>
    <xf numFmtId="44" fontId="0" fillId="0" borderId="2" xfId="1" applyFont="1" applyFill="1" applyBorder="1"/>
    <xf numFmtId="44" fontId="0" fillId="0" borderId="0" xfId="1" applyFont="1" applyFill="1" applyBorder="1"/>
    <xf numFmtId="0" fontId="5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4" fillId="0" borderId="7" xfId="0" applyFont="1" applyBorder="1" applyAlignment="1">
      <alignment horizontal="center" vertical="center"/>
    </xf>
    <xf numFmtId="16" fontId="0" fillId="6" borderId="0" xfId="0" applyNumberFormat="1" applyFill="1"/>
    <xf numFmtId="16" fontId="0" fillId="0" borderId="2" xfId="0" applyNumberFormat="1" applyBorder="1" applyAlignment="1">
      <alignment horizontal="left"/>
    </xf>
    <xf numFmtId="16" fontId="0" fillId="3" borderId="0" xfId="0" applyNumberFormat="1" applyFill="1"/>
    <xf numFmtId="1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14" fillId="3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14" fontId="0" fillId="6" borderId="1" xfId="0" applyNumberFormat="1" applyFill="1" applyBorder="1"/>
    <xf numFmtId="0" fontId="0" fillId="5" borderId="0" xfId="0" applyFill="1"/>
    <xf numFmtId="0" fontId="0" fillId="3" borderId="2" xfId="0" applyFill="1" applyBorder="1"/>
    <xf numFmtId="16" fontId="0" fillId="6" borderId="5" xfId="0" applyNumberFormat="1" applyFill="1" applyBorder="1"/>
    <xf numFmtId="0" fontId="0" fillId="3" borderId="0" xfId="0" applyFill="1"/>
    <xf numFmtId="16" fontId="0" fillId="5" borderId="0" xfId="0" applyNumberFormat="1" applyFill="1"/>
    <xf numFmtId="16" fontId="0" fillId="4" borderId="0" xfId="0" applyNumberFormat="1" applyFill="1"/>
    <xf numFmtId="44" fontId="0" fillId="4" borderId="1" xfId="0" applyNumberFormat="1" applyFill="1" applyBorder="1"/>
    <xf numFmtId="0" fontId="5" fillId="2" borderId="0" xfId="0" applyFont="1" applyFill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Moeda" xfId="1" builtinId="4"/>
    <cellStyle name="Normal" xfId="0" builtinId="0"/>
  </cellStyles>
  <dxfs count="11"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CCFF"/>
      <color rgb="FFFD99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D199-B172-4E19-ACA6-23F3849DC926}">
  <sheetPr>
    <pageSetUpPr fitToPage="1"/>
  </sheetPr>
  <dimension ref="A1:W89"/>
  <sheetViews>
    <sheetView tabSelected="1" topLeftCell="A9" workbookViewId="0">
      <selection activeCell="D16" sqref="D16"/>
    </sheetView>
  </sheetViews>
  <sheetFormatPr defaultColWidth="9.1796875" defaultRowHeight="14.5" x14ac:dyDescent="0.35"/>
  <cols>
    <col min="1" max="1" width="11.81640625" bestFit="1" customWidth="1"/>
    <col min="2" max="2" width="93.7265625" bestFit="1" customWidth="1"/>
    <col min="3" max="3" width="24.26953125" hidden="1" customWidth="1"/>
    <col min="4" max="4" width="9.7265625" bestFit="1" customWidth="1"/>
    <col min="5" max="5" width="16" customWidth="1"/>
    <col min="6" max="6" width="18.453125" hidden="1" customWidth="1"/>
    <col min="7" max="7" width="13.26953125" hidden="1" customWidth="1"/>
    <col min="8" max="8" width="19.26953125" hidden="1" customWidth="1"/>
    <col min="9" max="9" width="18.1796875" hidden="1" customWidth="1"/>
    <col min="10" max="10" width="13.26953125" hidden="1" customWidth="1"/>
    <col min="11" max="11" width="19.26953125" hidden="1" customWidth="1"/>
    <col min="12" max="12" width="18.1796875" hidden="1" customWidth="1"/>
    <col min="13" max="13" width="13.26953125" hidden="1" customWidth="1"/>
    <col min="14" max="14" width="19.26953125" hidden="1" customWidth="1"/>
    <col min="15" max="15" width="17" hidden="1" customWidth="1"/>
    <col min="16" max="16" width="12.54296875" hidden="1" customWidth="1"/>
    <col min="17" max="17" width="18.1796875" bestFit="1" customWidth="1"/>
    <col min="18" max="18" width="13.54296875" bestFit="1" customWidth="1"/>
    <col min="19" max="19" width="15.81640625" bestFit="1" customWidth="1"/>
    <col min="20" max="20" width="12.1796875" bestFit="1" customWidth="1"/>
    <col min="21" max="21" width="14.26953125" bestFit="1" customWidth="1"/>
    <col min="23" max="23" width="13.26953125" bestFit="1" customWidth="1"/>
  </cols>
  <sheetData>
    <row r="1" spans="1:23" x14ac:dyDescent="0.35">
      <c r="A1" s="7" t="s">
        <v>0</v>
      </c>
      <c r="B1" s="7" t="s">
        <v>1</v>
      </c>
      <c r="C1" s="7" t="s">
        <v>2</v>
      </c>
      <c r="D1" s="19" t="s">
        <v>3</v>
      </c>
      <c r="E1" s="20" t="s">
        <v>4</v>
      </c>
      <c r="F1" s="19" t="s">
        <v>5</v>
      </c>
      <c r="G1" s="19" t="s">
        <v>6</v>
      </c>
      <c r="H1" s="20" t="s">
        <v>7</v>
      </c>
      <c r="I1" s="20" t="s">
        <v>8</v>
      </c>
      <c r="J1" s="20" t="s">
        <v>6</v>
      </c>
      <c r="K1" s="20" t="s">
        <v>7</v>
      </c>
      <c r="L1" s="20" t="s">
        <v>8</v>
      </c>
      <c r="M1" s="20" t="s">
        <v>6</v>
      </c>
      <c r="N1" s="20" t="s">
        <v>7</v>
      </c>
      <c r="O1" s="20" t="s">
        <v>8</v>
      </c>
      <c r="P1" s="20" t="s">
        <v>6</v>
      </c>
      <c r="Q1" s="20" t="s">
        <v>7</v>
      </c>
      <c r="R1" s="20" t="s">
        <v>8</v>
      </c>
      <c r="S1" s="20" t="s">
        <v>6</v>
      </c>
    </row>
    <row r="2" spans="1:23" ht="32" x14ac:dyDescent="0.35">
      <c r="A2" s="1">
        <v>1</v>
      </c>
      <c r="B2" s="2" t="s">
        <v>9</v>
      </c>
      <c r="C2" s="28">
        <v>75</v>
      </c>
      <c r="D2" s="21" t="s">
        <v>10</v>
      </c>
      <c r="E2" s="21">
        <v>5</v>
      </c>
      <c r="F2" s="30">
        <v>75</v>
      </c>
      <c r="G2" s="30">
        <f>F2*E2</f>
        <v>375</v>
      </c>
      <c r="H2" s="31">
        <v>8.2000000000000003E-2</v>
      </c>
      <c r="I2" s="30">
        <f>$F2+$F2*$H2</f>
        <v>81.150000000000006</v>
      </c>
      <c r="J2" s="30">
        <f>I2*E2</f>
        <v>405.75</v>
      </c>
      <c r="K2" s="31">
        <v>3.5099999999999999E-2</v>
      </c>
      <c r="L2" s="30">
        <f>I2+I2*K2</f>
        <v>83.998365000000007</v>
      </c>
      <c r="M2" s="30">
        <f>L2*E2</f>
        <v>419.99182500000006</v>
      </c>
      <c r="N2" s="31">
        <v>3.4500000000000003E-2</v>
      </c>
      <c r="O2" s="30">
        <f>L2+L2*N2</f>
        <v>86.896308592500006</v>
      </c>
      <c r="P2" s="30">
        <f>O2*E2</f>
        <v>434.48154296250004</v>
      </c>
      <c r="Q2" s="31">
        <v>5.4100000000000002E-2</v>
      </c>
      <c r="R2" s="30">
        <f>O2+O2*Q2</f>
        <v>91.59739888735426</v>
      </c>
      <c r="S2" s="30">
        <f>R2*E2</f>
        <v>457.98699443677128</v>
      </c>
      <c r="W2" s="16"/>
    </row>
    <row r="3" spans="1:23" ht="32" x14ac:dyDescent="0.35">
      <c r="A3" s="1">
        <v>2</v>
      </c>
      <c r="B3" s="2" t="s">
        <v>11</v>
      </c>
      <c r="C3" s="28">
        <v>75</v>
      </c>
      <c r="D3" s="21" t="s">
        <v>12</v>
      </c>
      <c r="E3" s="21">
        <v>5</v>
      </c>
      <c r="F3" s="30">
        <v>85</v>
      </c>
      <c r="G3" s="30">
        <f t="shared" ref="G3:G43" si="0">F3*E3</f>
        <v>425</v>
      </c>
      <c r="H3" s="31">
        <v>8.2000000000000003E-2</v>
      </c>
      <c r="I3" s="30">
        <f t="shared" ref="I3:I43" si="1">$F3+$F3*$H3</f>
        <v>91.97</v>
      </c>
      <c r="J3" s="30">
        <f t="shared" ref="J3:J43" si="2">I3*E3</f>
        <v>459.85</v>
      </c>
      <c r="K3" s="31">
        <v>3.5099999999999999E-2</v>
      </c>
      <c r="L3" s="30">
        <f t="shared" ref="L3:L43" si="3">I3+I3*K3</f>
        <v>95.198147000000006</v>
      </c>
      <c r="M3" s="30">
        <f t="shared" ref="M3:M43" si="4">L3*E3</f>
        <v>475.99073500000003</v>
      </c>
      <c r="N3" s="31">
        <v>3.4500000000000003E-2</v>
      </c>
      <c r="O3" s="30">
        <f t="shared" ref="O3:O43" si="5">L3+L3*N3</f>
        <v>98.482483071500013</v>
      </c>
      <c r="P3" s="30">
        <f t="shared" ref="P3:P43" si="6">O3*E3</f>
        <v>492.41241535750009</v>
      </c>
      <c r="Q3" s="31">
        <v>5.4100000000000002E-2</v>
      </c>
      <c r="R3" s="30">
        <f t="shared" ref="R3:R43" si="7">O3+O3*Q3</f>
        <v>103.81038540566817</v>
      </c>
      <c r="S3" s="30">
        <f t="shared" ref="S3:S43" si="8">R3*E3</f>
        <v>519.05192702834086</v>
      </c>
      <c r="W3" s="16"/>
    </row>
    <row r="4" spans="1:23" ht="32" x14ac:dyDescent="0.35">
      <c r="A4" s="1">
        <v>3</v>
      </c>
      <c r="B4" s="2" t="s">
        <v>13</v>
      </c>
      <c r="C4" s="28">
        <v>75</v>
      </c>
      <c r="D4" s="21" t="s">
        <v>14</v>
      </c>
      <c r="E4" s="21">
        <v>5</v>
      </c>
      <c r="F4" s="30">
        <v>120</v>
      </c>
      <c r="G4" s="30">
        <f t="shared" si="0"/>
        <v>600</v>
      </c>
      <c r="H4" s="31">
        <v>8.2000000000000003E-2</v>
      </c>
      <c r="I4" s="30">
        <f t="shared" si="1"/>
        <v>129.84</v>
      </c>
      <c r="J4" s="30">
        <f t="shared" si="2"/>
        <v>649.20000000000005</v>
      </c>
      <c r="K4" s="31">
        <v>3.5099999999999999E-2</v>
      </c>
      <c r="L4" s="30">
        <f t="shared" si="3"/>
        <v>134.39738400000002</v>
      </c>
      <c r="M4" s="30">
        <f t="shared" si="4"/>
        <v>671.98692000000005</v>
      </c>
      <c r="N4" s="31">
        <v>3.4500000000000003E-2</v>
      </c>
      <c r="O4" s="30">
        <f t="shared" si="5"/>
        <v>139.03409374800003</v>
      </c>
      <c r="P4" s="30">
        <f t="shared" si="6"/>
        <v>695.17046874000016</v>
      </c>
      <c r="Q4" s="31">
        <v>5.4100000000000002E-2</v>
      </c>
      <c r="R4" s="30">
        <f t="shared" si="7"/>
        <v>146.55583821976683</v>
      </c>
      <c r="S4" s="30">
        <f t="shared" si="8"/>
        <v>732.77919109883419</v>
      </c>
      <c r="W4" s="16"/>
    </row>
    <row r="5" spans="1:23" ht="32" x14ac:dyDescent="0.35">
      <c r="A5" s="1">
        <v>4</v>
      </c>
      <c r="B5" s="2" t="s">
        <v>15</v>
      </c>
      <c r="C5" s="28">
        <v>3000</v>
      </c>
      <c r="D5" s="21" t="s">
        <v>16</v>
      </c>
      <c r="E5" s="21">
        <v>200</v>
      </c>
      <c r="F5" s="30">
        <v>0.9</v>
      </c>
      <c r="G5" s="30">
        <f t="shared" si="0"/>
        <v>180</v>
      </c>
      <c r="H5" s="31">
        <v>8.2000000000000003E-2</v>
      </c>
      <c r="I5" s="30">
        <f t="shared" si="1"/>
        <v>0.9738</v>
      </c>
      <c r="J5" s="30">
        <f t="shared" si="2"/>
        <v>194.76</v>
      </c>
      <c r="K5" s="31">
        <v>3.5099999999999999E-2</v>
      </c>
      <c r="L5" s="30">
        <f t="shared" si="3"/>
        <v>1.00798038</v>
      </c>
      <c r="M5" s="30">
        <f t="shared" si="4"/>
        <v>201.59607600000001</v>
      </c>
      <c r="N5" s="31">
        <v>3.4500000000000003E-2</v>
      </c>
      <c r="O5" s="30">
        <f t="shared" si="5"/>
        <v>1.0427557031100001</v>
      </c>
      <c r="P5" s="30">
        <f t="shared" si="6"/>
        <v>208.55114062200002</v>
      </c>
      <c r="Q5" s="31">
        <v>5.4100000000000002E-2</v>
      </c>
      <c r="R5" s="30">
        <f t="shared" si="7"/>
        <v>1.0991687866482511</v>
      </c>
      <c r="S5" s="30">
        <f t="shared" si="8"/>
        <v>219.83375732965021</v>
      </c>
    </row>
    <row r="6" spans="1:23" ht="16" x14ac:dyDescent="0.35">
      <c r="A6" s="1">
        <v>5</v>
      </c>
      <c r="B6" s="2" t="s">
        <v>17</v>
      </c>
      <c r="C6" s="28">
        <v>3000</v>
      </c>
      <c r="D6" s="21" t="s">
        <v>18</v>
      </c>
      <c r="E6" s="21">
        <v>200</v>
      </c>
      <c r="F6" s="30">
        <v>0.9</v>
      </c>
      <c r="G6" s="30">
        <f t="shared" si="0"/>
        <v>180</v>
      </c>
      <c r="H6" s="31">
        <v>8.2000000000000003E-2</v>
      </c>
      <c r="I6" s="30">
        <f t="shared" si="1"/>
        <v>0.9738</v>
      </c>
      <c r="J6" s="30">
        <f t="shared" si="2"/>
        <v>194.76</v>
      </c>
      <c r="K6" s="31">
        <v>3.5099999999999999E-2</v>
      </c>
      <c r="L6" s="30">
        <f t="shared" si="3"/>
        <v>1.00798038</v>
      </c>
      <c r="M6" s="30">
        <f t="shared" si="4"/>
        <v>201.59607600000001</v>
      </c>
      <c r="N6" s="31">
        <v>3.4500000000000003E-2</v>
      </c>
      <c r="O6" s="30">
        <f t="shared" si="5"/>
        <v>1.0427557031100001</v>
      </c>
      <c r="P6" s="30">
        <f t="shared" si="6"/>
        <v>208.55114062200002</v>
      </c>
      <c r="Q6" s="31">
        <v>5.4100000000000002E-2</v>
      </c>
      <c r="R6" s="30">
        <f t="shared" si="7"/>
        <v>1.0991687866482511</v>
      </c>
      <c r="S6" s="30">
        <f t="shared" si="8"/>
        <v>219.83375732965021</v>
      </c>
    </row>
    <row r="7" spans="1:23" ht="16" x14ac:dyDescent="0.35">
      <c r="A7" s="1">
        <v>6</v>
      </c>
      <c r="B7" s="2" t="s">
        <v>19</v>
      </c>
      <c r="C7" s="28">
        <v>4500</v>
      </c>
      <c r="D7" s="21" t="s">
        <v>20</v>
      </c>
      <c r="E7" s="21">
        <v>300</v>
      </c>
      <c r="F7" s="30">
        <v>0.12</v>
      </c>
      <c r="G7" s="30">
        <f t="shared" si="0"/>
        <v>36</v>
      </c>
      <c r="H7" s="31">
        <v>8.2000000000000003E-2</v>
      </c>
      <c r="I7" s="30">
        <f t="shared" si="1"/>
        <v>0.12983999999999998</v>
      </c>
      <c r="J7" s="30">
        <f t="shared" si="2"/>
        <v>38.951999999999998</v>
      </c>
      <c r="K7" s="31">
        <v>3.5099999999999999E-2</v>
      </c>
      <c r="L7" s="30">
        <f t="shared" si="3"/>
        <v>0.13439738399999998</v>
      </c>
      <c r="M7" s="30">
        <f t="shared" si="4"/>
        <v>40.319215199999995</v>
      </c>
      <c r="N7" s="31">
        <v>3.4500000000000003E-2</v>
      </c>
      <c r="O7" s="30">
        <f t="shared" si="5"/>
        <v>0.13903409374799999</v>
      </c>
      <c r="P7" s="30">
        <f t="shared" si="6"/>
        <v>41.710228124399997</v>
      </c>
      <c r="Q7" s="31">
        <v>5.4100000000000002E-2</v>
      </c>
      <c r="R7" s="30">
        <f t="shared" si="7"/>
        <v>0.14655583821976678</v>
      </c>
      <c r="S7" s="30">
        <f t="shared" si="8"/>
        <v>43.966751465930038</v>
      </c>
    </row>
    <row r="8" spans="1:23" ht="48" x14ac:dyDescent="0.35">
      <c r="A8" s="1">
        <v>7</v>
      </c>
      <c r="B8" s="2" t="s">
        <v>21</v>
      </c>
      <c r="C8" s="28">
        <v>1500</v>
      </c>
      <c r="D8" s="21" t="s">
        <v>22</v>
      </c>
      <c r="E8" s="21">
        <v>100</v>
      </c>
      <c r="F8" s="30">
        <v>2</v>
      </c>
      <c r="G8" s="30">
        <f t="shared" si="0"/>
        <v>200</v>
      </c>
      <c r="H8" s="31">
        <v>8.2000000000000003E-2</v>
      </c>
      <c r="I8" s="30">
        <f t="shared" si="1"/>
        <v>2.1640000000000001</v>
      </c>
      <c r="J8" s="30">
        <f t="shared" si="2"/>
        <v>216.4</v>
      </c>
      <c r="K8" s="31">
        <v>3.5099999999999999E-2</v>
      </c>
      <c r="L8" s="30">
        <f t="shared" si="3"/>
        <v>2.2399564000000001</v>
      </c>
      <c r="M8" s="30">
        <f t="shared" si="4"/>
        <v>223.99564000000001</v>
      </c>
      <c r="N8" s="31">
        <v>3.4500000000000003E-2</v>
      </c>
      <c r="O8" s="30">
        <f t="shared" si="5"/>
        <v>2.3172348958</v>
      </c>
      <c r="P8" s="30">
        <f t="shared" si="6"/>
        <v>231.72348958000001</v>
      </c>
      <c r="Q8" s="31">
        <v>5.4100000000000002E-2</v>
      </c>
      <c r="R8" s="30">
        <f t="shared" si="7"/>
        <v>2.4425973036627799</v>
      </c>
      <c r="S8" s="30">
        <f t="shared" si="8"/>
        <v>244.25973036627801</v>
      </c>
    </row>
    <row r="9" spans="1:23" ht="16" x14ac:dyDescent="0.35">
      <c r="A9" s="1">
        <v>8</v>
      </c>
      <c r="B9" s="2" t="s">
        <v>23</v>
      </c>
      <c r="C9" s="28">
        <v>75</v>
      </c>
      <c r="D9" s="21" t="s">
        <v>24</v>
      </c>
      <c r="E9" s="21">
        <v>5</v>
      </c>
      <c r="F9" s="30">
        <v>12</v>
      </c>
      <c r="G9" s="30">
        <f t="shared" si="0"/>
        <v>60</v>
      </c>
      <c r="H9" s="31">
        <v>8.2000000000000003E-2</v>
      </c>
      <c r="I9" s="30">
        <f t="shared" si="1"/>
        <v>12.984</v>
      </c>
      <c r="J9" s="30">
        <f t="shared" si="2"/>
        <v>64.92</v>
      </c>
      <c r="K9" s="31">
        <v>3.5099999999999999E-2</v>
      </c>
      <c r="L9" s="30">
        <f t="shared" si="3"/>
        <v>13.4397384</v>
      </c>
      <c r="M9" s="30">
        <f t="shared" si="4"/>
        <v>67.198691999999994</v>
      </c>
      <c r="N9" s="31">
        <v>3.4500000000000003E-2</v>
      </c>
      <c r="O9" s="30">
        <f t="shared" si="5"/>
        <v>13.903409374799999</v>
      </c>
      <c r="P9" s="30">
        <f t="shared" si="6"/>
        <v>69.517046873999988</v>
      </c>
      <c r="Q9" s="31">
        <v>5.4100000000000002E-2</v>
      </c>
      <c r="R9" s="30">
        <f t="shared" si="7"/>
        <v>14.655583821976679</v>
      </c>
      <c r="S9" s="30">
        <f t="shared" si="8"/>
        <v>73.277919109883399</v>
      </c>
    </row>
    <row r="10" spans="1:23" ht="32" x14ac:dyDescent="0.35">
      <c r="A10" s="1">
        <v>9</v>
      </c>
      <c r="B10" s="2" t="s">
        <v>25</v>
      </c>
      <c r="C10" s="28">
        <v>3000</v>
      </c>
      <c r="D10" s="21" t="s">
        <v>26</v>
      </c>
      <c r="E10" s="21">
        <v>200</v>
      </c>
      <c r="F10" s="30">
        <v>14</v>
      </c>
      <c r="G10" s="30">
        <f t="shared" si="0"/>
        <v>2800</v>
      </c>
      <c r="H10" s="31">
        <v>8.2000000000000003E-2</v>
      </c>
      <c r="I10" s="30">
        <f t="shared" si="1"/>
        <v>15.148</v>
      </c>
      <c r="J10" s="30">
        <f t="shared" si="2"/>
        <v>3029.6</v>
      </c>
      <c r="K10" s="31">
        <v>3.5099999999999999E-2</v>
      </c>
      <c r="L10" s="30">
        <f t="shared" si="3"/>
        <v>15.6796948</v>
      </c>
      <c r="M10" s="30">
        <f t="shared" si="4"/>
        <v>3135.93896</v>
      </c>
      <c r="N10" s="31">
        <v>3.4500000000000003E-2</v>
      </c>
      <c r="O10" s="30">
        <f t="shared" si="5"/>
        <v>16.220644270600001</v>
      </c>
      <c r="P10" s="30">
        <f t="shared" si="6"/>
        <v>3244.1288541200001</v>
      </c>
      <c r="Q10" s="31">
        <v>5.4100000000000002E-2</v>
      </c>
      <c r="R10" s="30">
        <f t="shared" si="7"/>
        <v>17.09818112563946</v>
      </c>
      <c r="S10" s="30">
        <f t="shared" si="8"/>
        <v>3419.636225127892</v>
      </c>
    </row>
    <row r="11" spans="1:23" ht="32" x14ac:dyDescent="0.35">
      <c r="A11" s="1">
        <v>10</v>
      </c>
      <c r="B11" s="2" t="s">
        <v>27</v>
      </c>
      <c r="C11" s="28">
        <v>3000</v>
      </c>
      <c r="D11" s="21" t="s">
        <v>28</v>
      </c>
      <c r="E11" s="21">
        <v>200</v>
      </c>
      <c r="F11" s="30">
        <v>16</v>
      </c>
      <c r="G11" s="30">
        <f t="shared" si="0"/>
        <v>3200</v>
      </c>
      <c r="H11" s="31">
        <v>8.2000000000000003E-2</v>
      </c>
      <c r="I11" s="30">
        <f t="shared" si="1"/>
        <v>17.312000000000001</v>
      </c>
      <c r="J11" s="30">
        <f t="shared" si="2"/>
        <v>3462.4</v>
      </c>
      <c r="K11" s="31">
        <v>3.5099999999999999E-2</v>
      </c>
      <c r="L11" s="30">
        <f t="shared" si="3"/>
        <v>17.919651200000001</v>
      </c>
      <c r="M11" s="30">
        <f t="shared" si="4"/>
        <v>3583.9302400000001</v>
      </c>
      <c r="N11" s="31">
        <v>3.4500000000000003E-2</v>
      </c>
      <c r="O11" s="30">
        <f t="shared" si="5"/>
        <v>18.5378791664</v>
      </c>
      <c r="P11" s="30">
        <f t="shared" si="6"/>
        <v>3707.5758332800001</v>
      </c>
      <c r="Q11" s="31">
        <v>5.4100000000000002E-2</v>
      </c>
      <c r="R11" s="30">
        <f t="shared" si="7"/>
        <v>19.54077842930224</v>
      </c>
      <c r="S11" s="30">
        <f t="shared" si="8"/>
        <v>3908.1556858604481</v>
      </c>
    </row>
    <row r="12" spans="1:23" ht="32" x14ac:dyDescent="0.35">
      <c r="A12" s="1">
        <v>11</v>
      </c>
      <c r="B12" s="2" t="s">
        <v>29</v>
      </c>
      <c r="C12" s="28">
        <v>3000</v>
      </c>
      <c r="D12" s="21" t="s">
        <v>30</v>
      </c>
      <c r="E12" s="21">
        <v>200</v>
      </c>
      <c r="F12" s="30">
        <v>0.9</v>
      </c>
      <c r="G12" s="30">
        <f t="shared" si="0"/>
        <v>180</v>
      </c>
      <c r="H12" s="31">
        <v>8.2000000000000003E-2</v>
      </c>
      <c r="I12" s="30">
        <f t="shared" si="1"/>
        <v>0.9738</v>
      </c>
      <c r="J12" s="30">
        <f t="shared" si="2"/>
        <v>194.76</v>
      </c>
      <c r="K12" s="31">
        <v>3.5099999999999999E-2</v>
      </c>
      <c r="L12" s="30">
        <f t="shared" si="3"/>
        <v>1.00798038</v>
      </c>
      <c r="M12" s="30">
        <f t="shared" si="4"/>
        <v>201.59607600000001</v>
      </c>
      <c r="N12" s="31">
        <v>3.4500000000000003E-2</v>
      </c>
      <c r="O12" s="30">
        <f t="shared" si="5"/>
        <v>1.0427557031100001</v>
      </c>
      <c r="P12" s="30">
        <f t="shared" si="6"/>
        <v>208.55114062200002</v>
      </c>
      <c r="Q12" s="31">
        <v>5.4100000000000002E-2</v>
      </c>
      <c r="R12" s="30">
        <f t="shared" si="7"/>
        <v>1.0991687866482511</v>
      </c>
      <c r="S12" s="30">
        <f t="shared" si="8"/>
        <v>219.83375732965021</v>
      </c>
    </row>
    <row r="13" spans="1:23" ht="32" x14ac:dyDescent="0.35">
      <c r="A13" s="1">
        <v>12</v>
      </c>
      <c r="B13" s="2" t="s">
        <v>31</v>
      </c>
      <c r="C13" s="28">
        <v>1500</v>
      </c>
      <c r="D13" s="21" t="s">
        <v>32</v>
      </c>
      <c r="E13" s="21">
        <v>100</v>
      </c>
      <c r="F13" s="30">
        <v>1.39</v>
      </c>
      <c r="G13" s="30">
        <f t="shared" si="0"/>
        <v>139</v>
      </c>
      <c r="H13" s="31">
        <v>8.2000000000000003E-2</v>
      </c>
      <c r="I13" s="30">
        <f t="shared" si="1"/>
        <v>1.5039799999999999</v>
      </c>
      <c r="J13" s="30">
        <f t="shared" si="2"/>
        <v>150.398</v>
      </c>
      <c r="K13" s="31">
        <v>3.5099999999999999E-2</v>
      </c>
      <c r="L13" s="30">
        <f t="shared" si="3"/>
        <v>1.5567696979999999</v>
      </c>
      <c r="M13" s="30">
        <f t="shared" si="4"/>
        <v>155.67696979999999</v>
      </c>
      <c r="N13" s="31">
        <v>3.4500000000000003E-2</v>
      </c>
      <c r="O13" s="30">
        <f t="shared" si="5"/>
        <v>1.610478252581</v>
      </c>
      <c r="P13" s="30">
        <f t="shared" si="6"/>
        <v>161.0478252581</v>
      </c>
      <c r="Q13" s="31">
        <v>5.4100000000000002E-2</v>
      </c>
      <c r="R13" s="30">
        <f t="shared" si="7"/>
        <v>1.697605126045632</v>
      </c>
      <c r="S13" s="30">
        <f t="shared" si="8"/>
        <v>169.76051260456319</v>
      </c>
    </row>
    <row r="14" spans="1:23" ht="32" x14ac:dyDescent="0.35">
      <c r="A14" s="1">
        <v>13</v>
      </c>
      <c r="B14" s="2" t="s">
        <v>33</v>
      </c>
      <c r="C14" s="28">
        <v>3000</v>
      </c>
      <c r="D14" s="21" t="s">
        <v>34</v>
      </c>
      <c r="E14" s="21">
        <v>200</v>
      </c>
      <c r="F14" s="30">
        <v>1.08</v>
      </c>
      <c r="G14" s="30">
        <f t="shared" si="0"/>
        <v>216</v>
      </c>
      <c r="H14" s="31">
        <v>8.2000000000000003E-2</v>
      </c>
      <c r="I14" s="30">
        <f t="shared" si="1"/>
        <v>1.16856</v>
      </c>
      <c r="J14" s="30">
        <f t="shared" si="2"/>
        <v>233.71200000000002</v>
      </c>
      <c r="K14" s="31">
        <v>3.5099999999999999E-2</v>
      </c>
      <c r="L14" s="30">
        <f t="shared" si="3"/>
        <v>1.209576456</v>
      </c>
      <c r="M14" s="30">
        <f t="shared" si="4"/>
        <v>241.91529119999998</v>
      </c>
      <c r="N14" s="31">
        <v>3.4500000000000003E-2</v>
      </c>
      <c r="O14" s="30">
        <f t="shared" si="5"/>
        <v>1.2513068437320001</v>
      </c>
      <c r="P14" s="30">
        <f t="shared" si="6"/>
        <v>250.26136874640002</v>
      </c>
      <c r="Q14" s="31">
        <v>5.4100000000000002E-2</v>
      </c>
      <c r="R14" s="30">
        <f t="shared" si="7"/>
        <v>1.3190025439779012</v>
      </c>
      <c r="S14" s="30">
        <f t="shared" si="8"/>
        <v>263.80050879558024</v>
      </c>
    </row>
    <row r="15" spans="1:23" ht="32" x14ac:dyDescent="0.35">
      <c r="A15" s="1">
        <v>14</v>
      </c>
      <c r="B15" s="2" t="s">
        <v>35</v>
      </c>
      <c r="C15" s="28">
        <v>3000</v>
      </c>
      <c r="D15" s="21" t="s">
        <v>36</v>
      </c>
      <c r="E15" s="21">
        <v>200</v>
      </c>
      <c r="F15" s="30">
        <v>1.08</v>
      </c>
      <c r="G15" s="30">
        <f t="shared" si="0"/>
        <v>216</v>
      </c>
      <c r="H15" s="31">
        <v>8.2000000000000003E-2</v>
      </c>
      <c r="I15" s="30">
        <f t="shared" si="1"/>
        <v>1.16856</v>
      </c>
      <c r="J15" s="30">
        <f t="shared" si="2"/>
        <v>233.71200000000002</v>
      </c>
      <c r="K15" s="31">
        <v>3.5099999999999999E-2</v>
      </c>
      <c r="L15" s="30">
        <f t="shared" si="3"/>
        <v>1.209576456</v>
      </c>
      <c r="M15" s="30">
        <f t="shared" si="4"/>
        <v>241.91529119999998</v>
      </c>
      <c r="N15" s="31">
        <v>3.4500000000000003E-2</v>
      </c>
      <c r="O15" s="30">
        <f t="shared" si="5"/>
        <v>1.2513068437320001</v>
      </c>
      <c r="P15" s="30">
        <f t="shared" si="6"/>
        <v>250.26136874640002</v>
      </c>
      <c r="Q15" s="31">
        <v>5.4100000000000002E-2</v>
      </c>
      <c r="R15" s="30">
        <f t="shared" si="7"/>
        <v>1.3190025439779012</v>
      </c>
      <c r="S15" s="30">
        <f t="shared" si="8"/>
        <v>263.80050879558024</v>
      </c>
    </row>
    <row r="16" spans="1:23" ht="32" x14ac:dyDescent="0.35">
      <c r="A16" s="1">
        <v>15</v>
      </c>
      <c r="B16" s="2" t="s">
        <v>37</v>
      </c>
      <c r="C16" s="28">
        <v>4500</v>
      </c>
      <c r="D16" s="21" t="s">
        <v>38</v>
      </c>
      <c r="E16" s="21">
        <v>300</v>
      </c>
      <c r="F16" s="30">
        <v>1.1000000000000001</v>
      </c>
      <c r="G16" s="30">
        <f t="shared" si="0"/>
        <v>330</v>
      </c>
      <c r="H16" s="31">
        <v>8.2000000000000003E-2</v>
      </c>
      <c r="I16" s="30">
        <f t="shared" si="1"/>
        <v>1.1902000000000001</v>
      </c>
      <c r="J16" s="30">
        <f t="shared" si="2"/>
        <v>357.06000000000006</v>
      </c>
      <c r="K16" s="31">
        <v>3.5099999999999999E-2</v>
      </c>
      <c r="L16" s="30">
        <f t="shared" si="3"/>
        <v>1.2319760200000001</v>
      </c>
      <c r="M16" s="30">
        <f t="shared" si="4"/>
        <v>369.592806</v>
      </c>
      <c r="N16" s="31">
        <v>3.4500000000000003E-2</v>
      </c>
      <c r="O16" s="30">
        <f t="shared" si="5"/>
        <v>1.2744791926900001</v>
      </c>
      <c r="P16" s="30">
        <f t="shared" si="6"/>
        <v>382.34375780700003</v>
      </c>
      <c r="Q16" s="31">
        <v>5.4100000000000002E-2</v>
      </c>
      <c r="R16" s="30">
        <f t="shared" si="7"/>
        <v>1.343428517014529</v>
      </c>
      <c r="S16" s="30">
        <f t="shared" si="8"/>
        <v>403.0285551043587</v>
      </c>
    </row>
    <row r="17" spans="1:19" ht="32" x14ac:dyDescent="0.35">
      <c r="A17" s="1">
        <v>16</v>
      </c>
      <c r="B17" s="2" t="s">
        <v>39</v>
      </c>
      <c r="C17" s="28">
        <v>3000</v>
      </c>
      <c r="D17" s="21" t="s">
        <v>40</v>
      </c>
      <c r="E17" s="21">
        <v>200</v>
      </c>
      <c r="F17" s="30">
        <v>11</v>
      </c>
      <c r="G17" s="30">
        <f t="shared" si="0"/>
        <v>2200</v>
      </c>
      <c r="H17" s="31">
        <v>8.2000000000000003E-2</v>
      </c>
      <c r="I17" s="30">
        <f t="shared" si="1"/>
        <v>11.901999999999999</v>
      </c>
      <c r="J17" s="30">
        <f t="shared" si="2"/>
        <v>2380.3999999999996</v>
      </c>
      <c r="K17" s="31">
        <v>3.5099999999999999E-2</v>
      </c>
      <c r="L17" s="30">
        <f t="shared" si="3"/>
        <v>12.319760199999999</v>
      </c>
      <c r="M17" s="30">
        <f t="shared" si="4"/>
        <v>2463.9520399999997</v>
      </c>
      <c r="N17" s="31">
        <v>3.4500000000000003E-2</v>
      </c>
      <c r="O17" s="30">
        <f t="shared" si="5"/>
        <v>12.7447919269</v>
      </c>
      <c r="P17" s="30">
        <f t="shared" si="6"/>
        <v>2548.95838538</v>
      </c>
      <c r="Q17" s="31">
        <v>5.4100000000000002E-2</v>
      </c>
      <c r="R17" s="30">
        <f t="shared" si="7"/>
        <v>13.434285170145289</v>
      </c>
      <c r="S17" s="30">
        <f t="shared" si="8"/>
        <v>2686.857034029058</v>
      </c>
    </row>
    <row r="18" spans="1:19" ht="32" x14ac:dyDescent="0.35">
      <c r="A18" s="1">
        <v>17</v>
      </c>
      <c r="B18" s="2" t="s">
        <v>41</v>
      </c>
      <c r="C18" s="28">
        <v>3000</v>
      </c>
      <c r="D18" s="21" t="s">
        <v>42</v>
      </c>
      <c r="E18" s="21">
        <v>200</v>
      </c>
      <c r="F18" s="30">
        <v>15.6</v>
      </c>
      <c r="G18" s="30">
        <f t="shared" si="0"/>
        <v>3120</v>
      </c>
      <c r="H18" s="31">
        <v>8.2000000000000003E-2</v>
      </c>
      <c r="I18" s="30">
        <f t="shared" si="1"/>
        <v>16.879200000000001</v>
      </c>
      <c r="J18" s="30">
        <f t="shared" si="2"/>
        <v>3375.84</v>
      </c>
      <c r="K18" s="31">
        <v>3.5099999999999999E-2</v>
      </c>
      <c r="L18" s="30">
        <f t="shared" si="3"/>
        <v>17.47165992</v>
      </c>
      <c r="M18" s="30">
        <f t="shared" si="4"/>
        <v>3494.3319839999999</v>
      </c>
      <c r="N18" s="31">
        <v>3.4500000000000003E-2</v>
      </c>
      <c r="O18" s="30">
        <f t="shared" si="5"/>
        <v>18.074432187239999</v>
      </c>
      <c r="P18" s="30">
        <f t="shared" si="6"/>
        <v>3614.8864374479999</v>
      </c>
      <c r="Q18" s="31">
        <v>5.4100000000000002E-2</v>
      </c>
      <c r="R18" s="30">
        <f t="shared" si="7"/>
        <v>19.052258968569685</v>
      </c>
      <c r="S18" s="30">
        <f t="shared" si="8"/>
        <v>3810.4517937139371</v>
      </c>
    </row>
    <row r="19" spans="1:19" ht="16" x14ac:dyDescent="0.35">
      <c r="A19" s="1">
        <v>18</v>
      </c>
      <c r="B19" s="2" t="s">
        <v>43</v>
      </c>
      <c r="C19" s="28">
        <v>7500</v>
      </c>
      <c r="D19" s="21" t="s">
        <v>44</v>
      </c>
      <c r="E19" s="21">
        <v>500</v>
      </c>
      <c r="F19" s="30">
        <v>0.25</v>
      </c>
      <c r="G19" s="30">
        <f t="shared" si="0"/>
        <v>125</v>
      </c>
      <c r="H19" s="31">
        <v>8.2000000000000003E-2</v>
      </c>
      <c r="I19" s="30">
        <f t="shared" si="1"/>
        <v>0.27050000000000002</v>
      </c>
      <c r="J19" s="30">
        <f t="shared" si="2"/>
        <v>135.25</v>
      </c>
      <c r="K19" s="31">
        <v>3.5099999999999999E-2</v>
      </c>
      <c r="L19" s="30">
        <f t="shared" si="3"/>
        <v>0.27999455000000001</v>
      </c>
      <c r="M19" s="30">
        <f t="shared" si="4"/>
        <v>139.997275</v>
      </c>
      <c r="N19" s="31">
        <v>3.4500000000000003E-2</v>
      </c>
      <c r="O19" s="30">
        <f t="shared" si="5"/>
        <v>0.289654361975</v>
      </c>
      <c r="P19" s="30">
        <f t="shared" si="6"/>
        <v>144.82718098749999</v>
      </c>
      <c r="Q19" s="31">
        <v>5.4100000000000002E-2</v>
      </c>
      <c r="R19" s="30">
        <f t="shared" si="7"/>
        <v>0.30532466295784749</v>
      </c>
      <c r="S19" s="30">
        <f t="shared" si="8"/>
        <v>152.66233147892373</v>
      </c>
    </row>
    <row r="20" spans="1:19" ht="16" x14ac:dyDescent="0.35">
      <c r="A20" s="1">
        <v>19</v>
      </c>
      <c r="B20" s="2" t="s">
        <v>45</v>
      </c>
      <c r="C20" s="28">
        <v>1200000</v>
      </c>
      <c r="D20" s="21" t="s">
        <v>46</v>
      </c>
      <c r="E20" s="21">
        <v>80000</v>
      </c>
      <c r="F20" s="30">
        <v>0.08</v>
      </c>
      <c r="G20" s="30">
        <f t="shared" si="0"/>
        <v>6400</v>
      </c>
      <c r="H20" s="31">
        <v>8.2000000000000003E-2</v>
      </c>
      <c r="I20" s="30">
        <f t="shared" si="1"/>
        <v>8.6559999999999998E-2</v>
      </c>
      <c r="J20" s="30">
        <f t="shared" si="2"/>
        <v>6924.8</v>
      </c>
      <c r="K20" s="31">
        <v>3.5099999999999999E-2</v>
      </c>
      <c r="L20" s="30">
        <f t="shared" si="3"/>
        <v>8.9598256000000001E-2</v>
      </c>
      <c r="M20" s="30">
        <f t="shared" si="4"/>
        <v>7167.8604800000003</v>
      </c>
      <c r="N20" s="31">
        <v>3.4500000000000003E-2</v>
      </c>
      <c r="O20" s="30">
        <f t="shared" si="5"/>
        <v>9.2689395832000004E-2</v>
      </c>
      <c r="P20" s="30">
        <f t="shared" si="6"/>
        <v>7415.1516665600002</v>
      </c>
      <c r="Q20" s="31">
        <v>5.4100000000000002E-2</v>
      </c>
      <c r="R20" s="30">
        <f t="shared" si="7"/>
        <v>9.7703892146511206E-2</v>
      </c>
      <c r="S20" s="30">
        <f t="shared" si="8"/>
        <v>7816.3113717208962</v>
      </c>
    </row>
    <row r="21" spans="1:19" ht="16" x14ac:dyDescent="0.35">
      <c r="A21" s="1">
        <v>20</v>
      </c>
      <c r="B21" s="2" t="s">
        <v>47</v>
      </c>
      <c r="C21" s="28">
        <v>7500</v>
      </c>
      <c r="D21" s="21" t="s">
        <v>48</v>
      </c>
      <c r="E21" s="21">
        <v>500</v>
      </c>
      <c r="F21" s="30">
        <v>1</v>
      </c>
      <c r="G21" s="30">
        <f t="shared" si="0"/>
        <v>500</v>
      </c>
      <c r="H21" s="31">
        <v>8.2000000000000003E-2</v>
      </c>
      <c r="I21" s="30">
        <f t="shared" si="1"/>
        <v>1.0820000000000001</v>
      </c>
      <c r="J21" s="30">
        <f t="shared" si="2"/>
        <v>541</v>
      </c>
      <c r="K21" s="31">
        <v>3.5099999999999999E-2</v>
      </c>
      <c r="L21" s="30">
        <f t="shared" si="3"/>
        <v>1.1199782</v>
      </c>
      <c r="M21" s="30">
        <f t="shared" si="4"/>
        <v>559.98910000000001</v>
      </c>
      <c r="N21" s="31">
        <v>3.4500000000000003E-2</v>
      </c>
      <c r="O21" s="30">
        <f t="shared" si="5"/>
        <v>1.1586174479</v>
      </c>
      <c r="P21" s="30">
        <f t="shared" si="6"/>
        <v>579.30872394999994</v>
      </c>
      <c r="Q21" s="31">
        <v>5.4100000000000002E-2</v>
      </c>
      <c r="R21" s="30">
        <f t="shared" si="7"/>
        <v>1.22129865183139</v>
      </c>
      <c r="S21" s="30">
        <f t="shared" si="8"/>
        <v>610.64932591569493</v>
      </c>
    </row>
    <row r="22" spans="1:19" ht="16" x14ac:dyDescent="0.35">
      <c r="A22" s="1">
        <v>21</v>
      </c>
      <c r="B22" s="2" t="s">
        <v>49</v>
      </c>
      <c r="C22" s="28">
        <v>750000</v>
      </c>
      <c r="D22" s="21" t="s">
        <v>50</v>
      </c>
      <c r="E22" s="21">
        <v>50000</v>
      </c>
      <c r="F22" s="30">
        <v>0.31</v>
      </c>
      <c r="G22" s="30">
        <f t="shared" si="0"/>
        <v>15500</v>
      </c>
      <c r="H22" s="31">
        <v>8.2000000000000003E-2</v>
      </c>
      <c r="I22" s="30">
        <f t="shared" si="1"/>
        <v>0.33542</v>
      </c>
      <c r="J22" s="30">
        <f t="shared" si="2"/>
        <v>16771</v>
      </c>
      <c r="K22" s="31">
        <v>3.5099999999999999E-2</v>
      </c>
      <c r="L22" s="30">
        <f t="shared" si="3"/>
        <v>0.34719324200000001</v>
      </c>
      <c r="M22" s="30">
        <f t="shared" si="4"/>
        <v>17359.662100000001</v>
      </c>
      <c r="N22" s="31">
        <v>3.4500000000000003E-2</v>
      </c>
      <c r="O22" s="30">
        <f t="shared" si="5"/>
        <v>0.35917140884900001</v>
      </c>
      <c r="P22" s="30">
        <f t="shared" si="6"/>
        <v>17958.57044245</v>
      </c>
      <c r="Q22" s="31">
        <v>5.4100000000000002E-2</v>
      </c>
      <c r="R22" s="30">
        <f t="shared" si="7"/>
        <v>0.3786025820677309</v>
      </c>
      <c r="S22" s="30">
        <f t="shared" si="8"/>
        <v>18930.129103386545</v>
      </c>
    </row>
    <row r="23" spans="1:19" ht="16" x14ac:dyDescent="0.35">
      <c r="A23" s="1">
        <v>22</v>
      </c>
      <c r="B23" s="2" t="s">
        <v>51</v>
      </c>
      <c r="C23" s="28">
        <v>7500</v>
      </c>
      <c r="D23" s="21" t="s">
        <v>52</v>
      </c>
      <c r="E23" s="21">
        <v>500</v>
      </c>
      <c r="F23" s="30">
        <v>0.48</v>
      </c>
      <c r="G23" s="30">
        <f t="shared" si="0"/>
        <v>240</v>
      </c>
      <c r="H23" s="31">
        <v>8.2000000000000003E-2</v>
      </c>
      <c r="I23" s="30">
        <f t="shared" si="1"/>
        <v>0.51935999999999993</v>
      </c>
      <c r="J23" s="30">
        <f t="shared" si="2"/>
        <v>259.67999999999995</v>
      </c>
      <c r="K23" s="31">
        <v>3.5099999999999999E-2</v>
      </c>
      <c r="L23" s="30">
        <f t="shared" si="3"/>
        <v>0.53758953599999992</v>
      </c>
      <c r="M23" s="30">
        <f t="shared" si="4"/>
        <v>268.79476799999998</v>
      </c>
      <c r="N23" s="31">
        <v>3.4500000000000003E-2</v>
      </c>
      <c r="O23" s="30">
        <f t="shared" si="5"/>
        <v>0.55613637499199997</v>
      </c>
      <c r="P23" s="30">
        <f t="shared" si="6"/>
        <v>278.06818749600001</v>
      </c>
      <c r="Q23" s="31">
        <v>5.4100000000000002E-2</v>
      </c>
      <c r="R23" s="30">
        <f t="shared" si="7"/>
        <v>0.58622335287906713</v>
      </c>
      <c r="S23" s="30">
        <f t="shared" si="8"/>
        <v>293.11167643953354</v>
      </c>
    </row>
    <row r="24" spans="1:19" ht="16" x14ac:dyDescent="0.35">
      <c r="A24" s="1">
        <v>23</v>
      </c>
      <c r="B24" s="2" t="s">
        <v>53</v>
      </c>
      <c r="C24" s="28">
        <v>1200000</v>
      </c>
      <c r="D24" s="21" t="s">
        <v>54</v>
      </c>
      <c r="E24" s="21">
        <v>80000</v>
      </c>
      <c r="F24" s="30">
        <v>0.11</v>
      </c>
      <c r="G24" s="30">
        <f t="shared" si="0"/>
        <v>8800</v>
      </c>
      <c r="H24" s="31">
        <v>8.2000000000000003E-2</v>
      </c>
      <c r="I24" s="30">
        <f t="shared" si="1"/>
        <v>0.11902</v>
      </c>
      <c r="J24" s="30">
        <f t="shared" si="2"/>
        <v>9521.6</v>
      </c>
      <c r="K24" s="31">
        <v>3.5099999999999999E-2</v>
      </c>
      <c r="L24" s="30">
        <f t="shared" si="3"/>
        <v>0.123197602</v>
      </c>
      <c r="M24" s="30">
        <f t="shared" si="4"/>
        <v>9855.8081600000005</v>
      </c>
      <c r="N24" s="31">
        <v>3.4500000000000003E-2</v>
      </c>
      <c r="O24" s="30">
        <f t="shared" si="5"/>
        <v>0.12744791926900001</v>
      </c>
      <c r="P24" s="30">
        <f t="shared" si="6"/>
        <v>10195.83354152</v>
      </c>
      <c r="Q24" s="31">
        <v>5.4100000000000002E-2</v>
      </c>
      <c r="R24" s="30">
        <f t="shared" si="7"/>
        <v>0.13434285170145291</v>
      </c>
      <c r="S24" s="30">
        <f t="shared" si="8"/>
        <v>10747.428136116232</v>
      </c>
    </row>
    <row r="25" spans="1:19" ht="16" x14ac:dyDescent="0.35">
      <c r="A25" s="1">
        <v>24</v>
      </c>
      <c r="B25" s="2" t="s">
        <v>55</v>
      </c>
      <c r="C25" s="28">
        <v>7500</v>
      </c>
      <c r="D25" s="21" t="s">
        <v>56</v>
      </c>
      <c r="E25" s="21">
        <v>500</v>
      </c>
      <c r="F25" s="30">
        <v>1</v>
      </c>
      <c r="G25" s="30">
        <f t="shared" si="0"/>
        <v>500</v>
      </c>
      <c r="H25" s="31">
        <v>8.2000000000000003E-2</v>
      </c>
      <c r="I25" s="30">
        <f t="shared" si="1"/>
        <v>1.0820000000000001</v>
      </c>
      <c r="J25" s="30">
        <f t="shared" si="2"/>
        <v>541</v>
      </c>
      <c r="K25" s="31">
        <v>3.5099999999999999E-2</v>
      </c>
      <c r="L25" s="30">
        <f t="shared" si="3"/>
        <v>1.1199782</v>
      </c>
      <c r="M25" s="30">
        <f t="shared" si="4"/>
        <v>559.98910000000001</v>
      </c>
      <c r="N25" s="31">
        <v>3.4500000000000003E-2</v>
      </c>
      <c r="O25" s="30">
        <f t="shared" si="5"/>
        <v>1.1586174479</v>
      </c>
      <c r="P25" s="30">
        <f t="shared" si="6"/>
        <v>579.30872394999994</v>
      </c>
      <c r="Q25" s="31">
        <v>5.4100000000000002E-2</v>
      </c>
      <c r="R25" s="30">
        <f t="shared" si="7"/>
        <v>1.22129865183139</v>
      </c>
      <c r="S25" s="30">
        <f t="shared" si="8"/>
        <v>610.64932591569493</v>
      </c>
    </row>
    <row r="26" spans="1:19" ht="16" x14ac:dyDescent="0.45">
      <c r="A26" s="1">
        <v>25</v>
      </c>
      <c r="B26" s="4" t="s">
        <v>57</v>
      </c>
      <c r="C26" s="28">
        <v>750000</v>
      </c>
      <c r="D26" s="21" t="s">
        <v>58</v>
      </c>
      <c r="E26" s="21">
        <v>50000</v>
      </c>
      <c r="F26" s="30">
        <v>0.7</v>
      </c>
      <c r="G26" s="30">
        <f t="shared" si="0"/>
        <v>35000</v>
      </c>
      <c r="H26" s="31">
        <v>8.2000000000000003E-2</v>
      </c>
      <c r="I26" s="30">
        <f t="shared" si="1"/>
        <v>0.75739999999999996</v>
      </c>
      <c r="J26" s="30">
        <f t="shared" si="2"/>
        <v>37870</v>
      </c>
      <c r="K26" s="31">
        <v>3.5099999999999999E-2</v>
      </c>
      <c r="L26" s="30">
        <f t="shared" si="3"/>
        <v>0.78398473999999996</v>
      </c>
      <c r="M26" s="30">
        <f t="shared" si="4"/>
        <v>39199.237000000001</v>
      </c>
      <c r="N26" s="31">
        <v>3.4500000000000003E-2</v>
      </c>
      <c r="O26" s="30">
        <f t="shared" si="5"/>
        <v>0.81103221352999999</v>
      </c>
      <c r="P26" s="30">
        <f t="shared" si="6"/>
        <v>40551.6106765</v>
      </c>
      <c r="Q26" s="31">
        <v>5.4100000000000002E-2</v>
      </c>
      <c r="R26" s="30">
        <f t="shared" si="7"/>
        <v>0.854909056281973</v>
      </c>
      <c r="S26" s="30">
        <f t="shared" si="8"/>
        <v>42745.452814098651</v>
      </c>
    </row>
    <row r="27" spans="1:19" ht="16" x14ac:dyDescent="0.35">
      <c r="A27" s="1">
        <v>26</v>
      </c>
      <c r="B27" s="2" t="s">
        <v>59</v>
      </c>
      <c r="C27" s="28">
        <v>4500</v>
      </c>
      <c r="D27" s="21" t="s">
        <v>60</v>
      </c>
      <c r="E27" s="21">
        <v>300</v>
      </c>
      <c r="F27" s="30">
        <v>0.12</v>
      </c>
      <c r="G27" s="30">
        <f t="shared" si="0"/>
        <v>36</v>
      </c>
      <c r="H27" s="31">
        <v>8.2000000000000003E-2</v>
      </c>
      <c r="I27" s="30">
        <f t="shared" si="1"/>
        <v>0.12983999999999998</v>
      </c>
      <c r="J27" s="30">
        <f t="shared" si="2"/>
        <v>38.951999999999998</v>
      </c>
      <c r="K27" s="31">
        <v>3.5099999999999999E-2</v>
      </c>
      <c r="L27" s="30">
        <f t="shared" si="3"/>
        <v>0.13439738399999998</v>
      </c>
      <c r="M27" s="30">
        <f t="shared" si="4"/>
        <v>40.319215199999995</v>
      </c>
      <c r="N27" s="31">
        <v>3.4500000000000003E-2</v>
      </c>
      <c r="O27" s="30">
        <f t="shared" si="5"/>
        <v>0.13903409374799999</v>
      </c>
      <c r="P27" s="30">
        <f t="shared" si="6"/>
        <v>41.710228124399997</v>
      </c>
      <c r="Q27" s="31">
        <v>5.4100000000000002E-2</v>
      </c>
      <c r="R27" s="30">
        <f t="shared" si="7"/>
        <v>0.14655583821976678</v>
      </c>
      <c r="S27" s="30">
        <f t="shared" si="8"/>
        <v>43.966751465930038</v>
      </c>
    </row>
    <row r="28" spans="1:19" ht="16" x14ac:dyDescent="0.35">
      <c r="A28" s="1">
        <v>27</v>
      </c>
      <c r="B28" s="2" t="s">
        <v>61</v>
      </c>
      <c r="C28" s="28">
        <v>4500</v>
      </c>
      <c r="D28" s="21" t="s">
        <v>62</v>
      </c>
      <c r="E28" s="21">
        <v>300</v>
      </c>
      <c r="F28" s="30">
        <v>0.24</v>
      </c>
      <c r="G28" s="30">
        <f t="shared" si="0"/>
        <v>72</v>
      </c>
      <c r="H28" s="31">
        <v>8.2000000000000003E-2</v>
      </c>
      <c r="I28" s="30">
        <f t="shared" si="1"/>
        <v>0.25967999999999997</v>
      </c>
      <c r="J28" s="30">
        <f t="shared" si="2"/>
        <v>77.903999999999996</v>
      </c>
      <c r="K28" s="31">
        <v>3.5099999999999999E-2</v>
      </c>
      <c r="L28" s="30">
        <f t="shared" si="3"/>
        <v>0.26879476799999996</v>
      </c>
      <c r="M28" s="30">
        <f t="shared" si="4"/>
        <v>80.63843039999999</v>
      </c>
      <c r="N28" s="31">
        <v>3.4500000000000003E-2</v>
      </c>
      <c r="O28" s="30">
        <f t="shared" si="5"/>
        <v>0.27806818749599999</v>
      </c>
      <c r="P28" s="30">
        <f t="shared" si="6"/>
        <v>83.420456248799994</v>
      </c>
      <c r="Q28" s="31">
        <v>5.4100000000000002E-2</v>
      </c>
      <c r="R28" s="30">
        <f t="shared" si="7"/>
        <v>0.29311167643953356</v>
      </c>
      <c r="S28" s="30">
        <f t="shared" si="8"/>
        <v>87.933502931860076</v>
      </c>
    </row>
    <row r="29" spans="1:19" ht="16" x14ac:dyDescent="0.35">
      <c r="A29" s="1">
        <v>28</v>
      </c>
      <c r="B29" s="2" t="s">
        <v>63</v>
      </c>
      <c r="C29" s="28">
        <v>4500</v>
      </c>
      <c r="D29" s="21" t="s">
        <v>64</v>
      </c>
      <c r="E29" s="21">
        <v>300</v>
      </c>
      <c r="F29" s="30">
        <v>0.7</v>
      </c>
      <c r="G29" s="30">
        <f t="shared" si="0"/>
        <v>210</v>
      </c>
      <c r="H29" s="31">
        <v>8.2000000000000003E-2</v>
      </c>
      <c r="I29" s="30">
        <f t="shared" si="1"/>
        <v>0.75739999999999996</v>
      </c>
      <c r="J29" s="30">
        <f t="shared" si="2"/>
        <v>227.22</v>
      </c>
      <c r="K29" s="31">
        <v>3.5099999999999999E-2</v>
      </c>
      <c r="L29" s="30">
        <f t="shared" si="3"/>
        <v>0.78398473999999996</v>
      </c>
      <c r="M29" s="30">
        <f t="shared" si="4"/>
        <v>235.19542199999998</v>
      </c>
      <c r="N29" s="31">
        <v>3.4500000000000003E-2</v>
      </c>
      <c r="O29" s="30">
        <f t="shared" si="5"/>
        <v>0.81103221352999999</v>
      </c>
      <c r="P29" s="30">
        <f t="shared" si="6"/>
        <v>243.309664059</v>
      </c>
      <c r="Q29" s="31">
        <v>5.4100000000000002E-2</v>
      </c>
      <c r="R29" s="30">
        <f t="shared" si="7"/>
        <v>0.854909056281973</v>
      </c>
      <c r="S29" s="30">
        <f t="shared" si="8"/>
        <v>256.47271688459188</v>
      </c>
    </row>
    <row r="30" spans="1:19" ht="16" x14ac:dyDescent="0.35">
      <c r="A30" s="1">
        <v>29</v>
      </c>
      <c r="B30" s="2" t="s">
        <v>65</v>
      </c>
      <c r="C30" s="28">
        <v>4500</v>
      </c>
      <c r="D30" s="21" t="s">
        <v>66</v>
      </c>
      <c r="E30" s="21">
        <v>300</v>
      </c>
      <c r="F30" s="30">
        <v>0.8</v>
      </c>
      <c r="G30" s="30">
        <f t="shared" si="0"/>
        <v>240</v>
      </c>
      <c r="H30" s="31">
        <v>8.2000000000000003E-2</v>
      </c>
      <c r="I30" s="30">
        <f t="shared" si="1"/>
        <v>0.86560000000000004</v>
      </c>
      <c r="J30" s="30">
        <f t="shared" si="2"/>
        <v>259.68</v>
      </c>
      <c r="K30" s="31">
        <v>3.5099999999999999E-2</v>
      </c>
      <c r="L30" s="30">
        <f t="shared" si="3"/>
        <v>0.89598255999999998</v>
      </c>
      <c r="M30" s="30">
        <f t="shared" si="4"/>
        <v>268.79476799999998</v>
      </c>
      <c r="N30" s="31">
        <v>3.4500000000000003E-2</v>
      </c>
      <c r="O30" s="30">
        <f t="shared" si="5"/>
        <v>0.92689395831999999</v>
      </c>
      <c r="P30" s="30">
        <f t="shared" si="6"/>
        <v>278.06818749600001</v>
      </c>
      <c r="Q30" s="31">
        <v>5.4100000000000002E-2</v>
      </c>
      <c r="R30" s="30">
        <f t="shared" si="7"/>
        <v>0.97703892146511195</v>
      </c>
      <c r="S30" s="30">
        <f t="shared" si="8"/>
        <v>293.1116764395336</v>
      </c>
    </row>
    <row r="31" spans="1:19" ht="16" x14ac:dyDescent="0.35">
      <c r="A31" s="1">
        <v>30</v>
      </c>
      <c r="B31" s="2" t="s">
        <v>67</v>
      </c>
      <c r="C31" s="28">
        <v>4500</v>
      </c>
      <c r="D31" s="21" t="s">
        <v>68</v>
      </c>
      <c r="E31" s="21">
        <v>300</v>
      </c>
      <c r="F31" s="30">
        <v>2.64</v>
      </c>
      <c r="G31" s="30">
        <f t="shared" si="0"/>
        <v>792</v>
      </c>
      <c r="H31" s="31">
        <v>8.2000000000000003E-2</v>
      </c>
      <c r="I31" s="30">
        <f t="shared" si="1"/>
        <v>2.8564800000000004</v>
      </c>
      <c r="J31" s="30">
        <f t="shared" si="2"/>
        <v>856.94400000000007</v>
      </c>
      <c r="K31" s="31">
        <v>3.5099999999999999E-2</v>
      </c>
      <c r="L31" s="30">
        <f t="shared" si="3"/>
        <v>2.9567424480000004</v>
      </c>
      <c r="M31" s="30">
        <f t="shared" si="4"/>
        <v>887.0227344000001</v>
      </c>
      <c r="N31" s="31">
        <v>3.4500000000000003E-2</v>
      </c>
      <c r="O31" s="30">
        <f t="shared" si="5"/>
        <v>3.0587500624560002</v>
      </c>
      <c r="P31" s="30">
        <f t="shared" si="6"/>
        <v>917.62501873680003</v>
      </c>
      <c r="Q31" s="31">
        <v>5.4100000000000002E-2</v>
      </c>
      <c r="R31" s="30">
        <f t="shared" si="7"/>
        <v>3.22422844083487</v>
      </c>
      <c r="S31" s="30">
        <f t="shared" si="8"/>
        <v>967.26853225046102</v>
      </c>
    </row>
    <row r="32" spans="1:19" ht="32" x14ac:dyDescent="0.35">
      <c r="A32" s="1">
        <v>31</v>
      </c>
      <c r="B32" s="2" t="s">
        <v>69</v>
      </c>
      <c r="C32" s="28">
        <v>4500</v>
      </c>
      <c r="D32" s="21" t="s">
        <v>70</v>
      </c>
      <c r="E32" s="21">
        <v>300</v>
      </c>
      <c r="F32" s="30">
        <v>3</v>
      </c>
      <c r="G32" s="30">
        <f t="shared" si="0"/>
        <v>900</v>
      </c>
      <c r="H32" s="31">
        <v>8.2000000000000003E-2</v>
      </c>
      <c r="I32" s="30">
        <f t="shared" si="1"/>
        <v>3.246</v>
      </c>
      <c r="J32" s="30">
        <f t="shared" si="2"/>
        <v>973.8</v>
      </c>
      <c r="K32" s="31">
        <v>3.5099999999999999E-2</v>
      </c>
      <c r="L32" s="30">
        <f t="shared" si="3"/>
        <v>3.3599345999999999</v>
      </c>
      <c r="M32" s="30">
        <f t="shared" si="4"/>
        <v>1007.98038</v>
      </c>
      <c r="N32" s="31">
        <v>3.4500000000000003E-2</v>
      </c>
      <c r="O32" s="30">
        <f t="shared" si="5"/>
        <v>3.4758523436999997</v>
      </c>
      <c r="P32" s="30">
        <f t="shared" si="6"/>
        <v>1042.75570311</v>
      </c>
      <c r="Q32" s="31">
        <v>5.4100000000000002E-2</v>
      </c>
      <c r="R32" s="30">
        <f t="shared" si="7"/>
        <v>3.6638959554941697</v>
      </c>
      <c r="S32" s="30">
        <f t="shared" si="8"/>
        <v>1099.1687866482509</v>
      </c>
    </row>
    <row r="33" spans="1:19" ht="16" x14ac:dyDescent="0.35">
      <c r="A33" s="1">
        <v>32</v>
      </c>
      <c r="B33" s="2" t="s">
        <v>71</v>
      </c>
      <c r="C33" s="28">
        <v>4500</v>
      </c>
      <c r="D33" s="21" t="s">
        <v>72</v>
      </c>
      <c r="E33" s="21">
        <v>300</v>
      </c>
      <c r="F33" s="30">
        <v>3</v>
      </c>
      <c r="G33" s="30">
        <f t="shared" si="0"/>
        <v>900</v>
      </c>
      <c r="H33" s="31">
        <v>8.2000000000000003E-2</v>
      </c>
      <c r="I33" s="30">
        <f t="shared" si="1"/>
        <v>3.246</v>
      </c>
      <c r="J33" s="30">
        <f t="shared" si="2"/>
        <v>973.8</v>
      </c>
      <c r="K33" s="31">
        <v>3.5099999999999999E-2</v>
      </c>
      <c r="L33" s="30">
        <f t="shared" si="3"/>
        <v>3.3599345999999999</v>
      </c>
      <c r="M33" s="30">
        <f t="shared" si="4"/>
        <v>1007.98038</v>
      </c>
      <c r="N33" s="31">
        <v>3.4500000000000003E-2</v>
      </c>
      <c r="O33" s="30">
        <f t="shared" si="5"/>
        <v>3.4758523436999997</v>
      </c>
      <c r="P33" s="30">
        <f t="shared" si="6"/>
        <v>1042.75570311</v>
      </c>
      <c r="Q33" s="31">
        <v>5.4100000000000002E-2</v>
      </c>
      <c r="R33" s="30">
        <f t="shared" si="7"/>
        <v>3.6638959554941697</v>
      </c>
      <c r="S33" s="30">
        <f t="shared" si="8"/>
        <v>1099.1687866482509</v>
      </c>
    </row>
    <row r="34" spans="1:19" ht="16" x14ac:dyDescent="0.35">
      <c r="A34" s="1">
        <v>33</v>
      </c>
      <c r="B34" s="2" t="s">
        <v>73</v>
      </c>
      <c r="C34" s="28">
        <v>3000</v>
      </c>
      <c r="D34" s="21" t="s">
        <v>74</v>
      </c>
      <c r="E34" s="21">
        <v>200</v>
      </c>
      <c r="F34" s="30">
        <v>2.4900000000000002</v>
      </c>
      <c r="G34" s="30">
        <f t="shared" si="0"/>
        <v>498.00000000000006</v>
      </c>
      <c r="H34" s="31">
        <v>8.2000000000000003E-2</v>
      </c>
      <c r="I34" s="30">
        <f t="shared" si="1"/>
        <v>2.6941800000000002</v>
      </c>
      <c r="J34" s="30">
        <f t="shared" si="2"/>
        <v>538.83600000000001</v>
      </c>
      <c r="K34" s="31">
        <v>3.5099999999999999E-2</v>
      </c>
      <c r="L34" s="30">
        <f t="shared" si="3"/>
        <v>2.7887457180000004</v>
      </c>
      <c r="M34" s="30">
        <f t="shared" si="4"/>
        <v>557.74914360000002</v>
      </c>
      <c r="N34" s="31">
        <v>3.4500000000000003E-2</v>
      </c>
      <c r="O34" s="30">
        <f t="shared" si="5"/>
        <v>2.8849574452710005</v>
      </c>
      <c r="P34" s="30">
        <f t="shared" si="6"/>
        <v>576.99148905420009</v>
      </c>
      <c r="Q34" s="31">
        <v>5.4100000000000002E-2</v>
      </c>
      <c r="R34" s="30">
        <f t="shared" si="7"/>
        <v>3.0410336430601617</v>
      </c>
      <c r="S34" s="30">
        <f t="shared" si="8"/>
        <v>608.20672861203229</v>
      </c>
    </row>
    <row r="35" spans="1:19" ht="16" x14ac:dyDescent="0.35">
      <c r="A35" s="1">
        <v>34</v>
      </c>
      <c r="B35" s="2" t="s">
        <v>75</v>
      </c>
      <c r="C35" s="28">
        <v>3000</v>
      </c>
      <c r="D35" s="21" t="s">
        <v>76</v>
      </c>
      <c r="E35" s="21">
        <v>200</v>
      </c>
      <c r="F35" s="30">
        <v>2.34</v>
      </c>
      <c r="G35" s="30">
        <f t="shared" si="0"/>
        <v>468</v>
      </c>
      <c r="H35" s="31">
        <v>8.2000000000000003E-2</v>
      </c>
      <c r="I35" s="30">
        <f t="shared" si="1"/>
        <v>2.5318799999999997</v>
      </c>
      <c r="J35" s="30">
        <f t="shared" si="2"/>
        <v>506.37599999999992</v>
      </c>
      <c r="K35" s="31">
        <v>3.5099999999999999E-2</v>
      </c>
      <c r="L35" s="30">
        <f t="shared" si="3"/>
        <v>2.6207489879999999</v>
      </c>
      <c r="M35" s="30">
        <f t="shared" si="4"/>
        <v>524.14979759999994</v>
      </c>
      <c r="N35" s="31">
        <v>3.4500000000000003E-2</v>
      </c>
      <c r="O35" s="30">
        <f t="shared" si="5"/>
        <v>2.7111648280859999</v>
      </c>
      <c r="P35" s="30">
        <f t="shared" si="6"/>
        <v>542.23296561719997</v>
      </c>
      <c r="Q35" s="31">
        <v>5.4100000000000002E-2</v>
      </c>
      <c r="R35" s="30">
        <f t="shared" si="7"/>
        <v>2.8578388452854524</v>
      </c>
      <c r="S35" s="30">
        <f t="shared" si="8"/>
        <v>571.56776905709046</v>
      </c>
    </row>
    <row r="36" spans="1:19" ht="16" x14ac:dyDescent="0.35">
      <c r="A36" s="1">
        <v>35</v>
      </c>
      <c r="B36" s="2" t="s">
        <v>77</v>
      </c>
      <c r="C36" s="28">
        <v>3000</v>
      </c>
      <c r="D36" s="21" t="s">
        <v>78</v>
      </c>
      <c r="E36" s="21">
        <v>200</v>
      </c>
      <c r="F36" s="30">
        <v>2.4900000000000002</v>
      </c>
      <c r="G36" s="30">
        <f t="shared" si="0"/>
        <v>498.00000000000006</v>
      </c>
      <c r="H36" s="31">
        <v>8.2000000000000003E-2</v>
      </c>
      <c r="I36" s="30">
        <f t="shared" si="1"/>
        <v>2.6941800000000002</v>
      </c>
      <c r="J36" s="30">
        <f t="shared" si="2"/>
        <v>538.83600000000001</v>
      </c>
      <c r="K36" s="31">
        <v>3.5099999999999999E-2</v>
      </c>
      <c r="L36" s="30">
        <f t="shared" si="3"/>
        <v>2.7887457180000004</v>
      </c>
      <c r="M36" s="30">
        <f t="shared" si="4"/>
        <v>557.74914360000002</v>
      </c>
      <c r="N36" s="31">
        <v>3.4500000000000003E-2</v>
      </c>
      <c r="O36" s="30">
        <f t="shared" si="5"/>
        <v>2.8849574452710005</v>
      </c>
      <c r="P36" s="30">
        <f t="shared" si="6"/>
        <v>576.99148905420009</v>
      </c>
      <c r="Q36" s="31">
        <v>5.4100000000000002E-2</v>
      </c>
      <c r="R36" s="30">
        <f t="shared" si="7"/>
        <v>3.0410336430601617</v>
      </c>
      <c r="S36" s="30">
        <f t="shared" si="8"/>
        <v>608.20672861203229</v>
      </c>
    </row>
    <row r="37" spans="1:19" ht="16" x14ac:dyDescent="0.35">
      <c r="A37" s="1">
        <v>36</v>
      </c>
      <c r="B37" s="2" t="s">
        <v>79</v>
      </c>
      <c r="C37" s="28">
        <v>75000</v>
      </c>
      <c r="D37" s="21" t="s">
        <v>80</v>
      </c>
      <c r="E37" s="21">
        <v>5000</v>
      </c>
      <c r="F37" s="30">
        <v>0.4</v>
      </c>
      <c r="G37" s="30">
        <f t="shared" si="0"/>
        <v>2000</v>
      </c>
      <c r="H37" s="31">
        <v>8.2000000000000003E-2</v>
      </c>
      <c r="I37" s="30">
        <f t="shared" si="1"/>
        <v>0.43280000000000002</v>
      </c>
      <c r="J37" s="30">
        <f t="shared" si="2"/>
        <v>2164</v>
      </c>
      <c r="K37" s="31">
        <v>3.5099999999999999E-2</v>
      </c>
      <c r="L37" s="30">
        <f t="shared" si="3"/>
        <v>0.44799127999999999</v>
      </c>
      <c r="M37" s="30">
        <f t="shared" si="4"/>
        <v>2239.9564</v>
      </c>
      <c r="N37" s="31">
        <v>3.4500000000000003E-2</v>
      </c>
      <c r="O37" s="30">
        <f t="shared" si="5"/>
        <v>0.46344697915999999</v>
      </c>
      <c r="P37" s="30">
        <f t="shared" si="6"/>
        <v>2317.2348957999998</v>
      </c>
      <c r="Q37" s="31">
        <v>5.4100000000000002E-2</v>
      </c>
      <c r="R37" s="30">
        <f t="shared" si="7"/>
        <v>0.48851946073255598</v>
      </c>
      <c r="S37" s="30">
        <f t="shared" si="8"/>
        <v>2442.5973036627797</v>
      </c>
    </row>
    <row r="38" spans="1:19" ht="16" x14ac:dyDescent="0.35">
      <c r="A38" s="1">
        <v>37</v>
      </c>
      <c r="B38" s="2" t="s">
        <v>81</v>
      </c>
      <c r="C38" s="28">
        <v>4500</v>
      </c>
      <c r="D38" s="21" t="s">
        <v>82</v>
      </c>
      <c r="E38" s="21">
        <v>300</v>
      </c>
      <c r="F38" s="30">
        <v>0.38</v>
      </c>
      <c r="G38" s="30">
        <f t="shared" si="0"/>
        <v>114</v>
      </c>
      <c r="H38" s="31">
        <v>8.2000000000000003E-2</v>
      </c>
      <c r="I38" s="30">
        <f t="shared" si="1"/>
        <v>0.41116000000000003</v>
      </c>
      <c r="J38" s="30">
        <f t="shared" si="2"/>
        <v>123.34800000000001</v>
      </c>
      <c r="K38" s="31">
        <v>3.5099999999999999E-2</v>
      </c>
      <c r="L38" s="30">
        <f t="shared" si="3"/>
        <v>0.42559171600000001</v>
      </c>
      <c r="M38" s="30">
        <f t="shared" si="4"/>
        <v>127.6775148</v>
      </c>
      <c r="N38" s="31">
        <v>3.4500000000000003E-2</v>
      </c>
      <c r="O38" s="30">
        <f t="shared" si="5"/>
        <v>0.44027463020200003</v>
      </c>
      <c r="P38" s="30">
        <f t="shared" si="6"/>
        <v>132.08238906060001</v>
      </c>
      <c r="Q38" s="31">
        <v>5.4100000000000002E-2</v>
      </c>
      <c r="R38" s="30">
        <f t="shared" si="7"/>
        <v>0.46409348769592823</v>
      </c>
      <c r="S38" s="30">
        <f t="shared" si="8"/>
        <v>139.22804630877846</v>
      </c>
    </row>
    <row r="39" spans="1:19" ht="16" x14ac:dyDescent="0.35">
      <c r="A39" s="1">
        <v>38</v>
      </c>
      <c r="B39" s="2" t="s">
        <v>83</v>
      </c>
      <c r="C39" s="28">
        <v>4500</v>
      </c>
      <c r="D39" s="21" t="s">
        <v>84</v>
      </c>
      <c r="E39" s="21">
        <v>300</v>
      </c>
      <c r="F39" s="30">
        <v>0.18</v>
      </c>
      <c r="G39" s="30">
        <f t="shared" si="0"/>
        <v>54</v>
      </c>
      <c r="H39" s="31">
        <v>8.2000000000000003E-2</v>
      </c>
      <c r="I39" s="30">
        <f t="shared" si="1"/>
        <v>0.19475999999999999</v>
      </c>
      <c r="J39" s="30">
        <f t="shared" si="2"/>
        <v>58.427999999999997</v>
      </c>
      <c r="K39" s="31">
        <v>3.5099999999999999E-2</v>
      </c>
      <c r="L39" s="30">
        <f t="shared" si="3"/>
        <v>0.20159607599999999</v>
      </c>
      <c r="M39" s="30">
        <f t="shared" si="4"/>
        <v>60.478822799999996</v>
      </c>
      <c r="N39" s="31">
        <v>3.4500000000000003E-2</v>
      </c>
      <c r="O39" s="30">
        <f t="shared" si="5"/>
        <v>0.20855114062199998</v>
      </c>
      <c r="P39" s="30">
        <f t="shared" si="6"/>
        <v>62.565342186599992</v>
      </c>
      <c r="Q39" s="31">
        <v>5.4100000000000002E-2</v>
      </c>
      <c r="R39" s="30">
        <f t="shared" si="7"/>
        <v>0.21983375732965019</v>
      </c>
      <c r="S39" s="30">
        <f t="shared" si="8"/>
        <v>65.950127198895061</v>
      </c>
    </row>
    <row r="40" spans="1:19" ht="32" x14ac:dyDescent="0.35">
      <c r="A40" s="1">
        <v>39</v>
      </c>
      <c r="B40" s="2" t="s">
        <v>85</v>
      </c>
      <c r="C40" s="28">
        <v>450</v>
      </c>
      <c r="D40" s="21" t="s">
        <v>86</v>
      </c>
      <c r="E40" s="21">
        <v>30</v>
      </c>
      <c r="F40" s="30">
        <v>15</v>
      </c>
      <c r="G40" s="30">
        <f t="shared" si="0"/>
        <v>450</v>
      </c>
      <c r="H40" s="31">
        <v>8.2000000000000003E-2</v>
      </c>
      <c r="I40" s="30">
        <f t="shared" si="1"/>
        <v>16.23</v>
      </c>
      <c r="J40" s="30">
        <f t="shared" si="2"/>
        <v>486.90000000000003</v>
      </c>
      <c r="K40" s="31">
        <v>3.5099999999999999E-2</v>
      </c>
      <c r="L40" s="30">
        <f t="shared" si="3"/>
        <v>16.799673000000002</v>
      </c>
      <c r="M40" s="30">
        <f t="shared" si="4"/>
        <v>503.99019000000004</v>
      </c>
      <c r="N40" s="31">
        <v>3.4500000000000003E-2</v>
      </c>
      <c r="O40" s="30">
        <f t="shared" si="5"/>
        <v>17.379261718500004</v>
      </c>
      <c r="P40" s="30">
        <f t="shared" si="6"/>
        <v>521.37785155500012</v>
      </c>
      <c r="Q40" s="31">
        <v>5.4100000000000002E-2</v>
      </c>
      <c r="R40" s="30">
        <f t="shared" si="7"/>
        <v>18.319479777470853</v>
      </c>
      <c r="S40" s="30">
        <f t="shared" si="8"/>
        <v>549.58439332412559</v>
      </c>
    </row>
    <row r="41" spans="1:19" ht="64" x14ac:dyDescent="0.35">
      <c r="A41" s="1">
        <v>40</v>
      </c>
      <c r="B41" s="2" t="s">
        <v>87</v>
      </c>
      <c r="C41" s="28">
        <v>450</v>
      </c>
      <c r="D41" s="21" t="s">
        <v>88</v>
      </c>
      <c r="E41" s="21">
        <v>30</v>
      </c>
      <c r="F41" s="30">
        <v>14.25</v>
      </c>
      <c r="G41" s="30">
        <f t="shared" si="0"/>
        <v>427.5</v>
      </c>
      <c r="H41" s="31">
        <v>8.2000000000000003E-2</v>
      </c>
      <c r="I41" s="30">
        <f t="shared" si="1"/>
        <v>15.4185</v>
      </c>
      <c r="J41" s="30">
        <f t="shared" si="2"/>
        <v>462.55500000000001</v>
      </c>
      <c r="K41" s="31">
        <v>3.5099999999999999E-2</v>
      </c>
      <c r="L41" s="30">
        <f t="shared" si="3"/>
        <v>15.95968935</v>
      </c>
      <c r="M41" s="30">
        <f t="shared" si="4"/>
        <v>478.79068050000001</v>
      </c>
      <c r="N41" s="31">
        <v>3.4500000000000003E-2</v>
      </c>
      <c r="O41" s="30">
        <f t="shared" si="5"/>
        <v>16.510298632575001</v>
      </c>
      <c r="P41" s="30">
        <f t="shared" si="6"/>
        <v>495.30895897725003</v>
      </c>
      <c r="Q41" s="31">
        <v>5.4100000000000002E-2</v>
      </c>
      <c r="R41" s="30">
        <f t="shared" si="7"/>
        <v>17.403505788597307</v>
      </c>
      <c r="S41" s="30">
        <f t="shared" si="8"/>
        <v>522.10517365791918</v>
      </c>
    </row>
    <row r="42" spans="1:19" ht="64" x14ac:dyDescent="0.35">
      <c r="A42" s="1">
        <v>41</v>
      </c>
      <c r="B42" s="2" t="s">
        <v>89</v>
      </c>
      <c r="C42" s="28">
        <v>450</v>
      </c>
      <c r="D42" s="21" t="s">
        <v>90</v>
      </c>
      <c r="E42" s="21">
        <v>30</v>
      </c>
      <c r="F42" s="30">
        <v>7.88</v>
      </c>
      <c r="G42" s="30">
        <f t="shared" si="0"/>
        <v>236.4</v>
      </c>
      <c r="H42" s="31">
        <v>8.2000000000000003E-2</v>
      </c>
      <c r="I42" s="30">
        <f t="shared" si="1"/>
        <v>8.5261600000000008</v>
      </c>
      <c r="J42" s="30">
        <f t="shared" si="2"/>
        <v>255.78480000000002</v>
      </c>
      <c r="K42" s="31">
        <v>3.5099999999999999E-2</v>
      </c>
      <c r="L42" s="30">
        <f t="shared" si="3"/>
        <v>8.8254282160000006</v>
      </c>
      <c r="M42" s="30">
        <f t="shared" si="4"/>
        <v>264.76284648000001</v>
      </c>
      <c r="N42" s="31">
        <v>3.4500000000000003E-2</v>
      </c>
      <c r="O42" s="30">
        <f t="shared" si="5"/>
        <v>9.1299054894519998</v>
      </c>
      <c r="P42" s="30">
        <f t="shared" si="6"/>
        <v>273.89716468355999</v>
      </c>
      <c r="Q42" s="31">
        <v>5.4100000000000002E-2</v>
      </c>
      <c r="R42" s="30">
        <f t="shared" si="7"/>
        <v>9.6238333764313531</v>
      </c>
      <c r="S42" s="30">
        <f t="shared" si="8"/>
        <v>288.7150012929406</v>
      </c>
    </row>
    <row r="43" spans="1:19" ht="64" x14ac:dyDescent="0.35">
      <c r="A43" s="1">
        <v>42</v>
      </c>
      <c r="B43" s="2" t="s">
        <v>91</v>
      </c>
      <c r="C43" s="28">
        <v>450</v>
      </c>
      <c r="D43" s="21" t="s">
        <v>92</v>
      </c>
      <c r="E43" s="21">
        <v>30</v>
      </c>
      <c r="F43" s="30">
        <v>7.88</v>
      </c>
      <c r="G43" s="30">
        <f t="shared" si="0"/>
        <v>236.4</v>
      </c>
      <c r="H43" s="31">
        <v>8.2000000000000003E-2</v>
      </c>
      <c r="I43" s="30">
        <f t="shared" si="1"/>
        <v>8.5261600000000008</v>
      </c>
      <c r="J43" s="30">
        <f t="shared" si="2"/>
        <v>255.78480000000002</v>
      </c>
      <c r="K43" s="31">
        <v>3.5099999999999999E-2</v>
      </c>
      <c r="L43" s="30">
        <f t="shared" si="3"/>
        <v>8.8254282160000006</v>
      </c>
      <c r="M43" s="30">
        <f t="shared" si="4"/>
        <v>264.76284648000001</v>
      </c>
      <c r="N43" s="31">
        <v>3.4500000000000003E-2</v>
      </c>
      <c r="O43" s="30">
        <f t="shared" si="5"/>
        <v>9.1299054894519998</v>
      </c>
      <c r="P43" s="30">
        <f t="shared" si="6"/>
        <v>273.89716468355999</v>
      </c>
      <c r="Q43" s="31">
        <v>5.4100000000000002E-2</v>
      </c>
      <c r="R43" s="30">
        <f t="shared" si="7"/>
        <v>9.6238333764313531</v>
      </c>
      <c r="S43" s="30">
        <f t="shared" si="8"/>
        <v>288.7150012929406</v>
      </c>
    </row>
    <row r="44" spans="1:19" x14ac:dyDescent="0.35">
      <c r="C44" s="29"/>
      <c r="D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</row>
    <row r="45" spans="1:19" x14ac:dyDescent="0.35">
      <c r="C45" s="29"/>
      <c r="D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</row>
    <row r="46" spans="1:19" x14ac:dyDescent="0.35">
      <c r="C46" s="29"/>
      <c r="D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</row>
    <row r="47" spans="1:19" x14ac:dyDescent="0.35">
      <c r="C47" s="29"/>
      <c r="D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</row>
    <row r="48" spans="1:19" x14ac:dyDescent="0.35">
      <c r="A48" s="17">
        <v>1</v>
      </c>
      <c r="C48" s="29"/>
      <c r="D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</row>
    <row r="49" spans="1:18" x14ac:dyDescent="0.35">
      <c r="A49" s="17">
        <v>2</v>
      </c>
      <c r="C49" s="29"/>
      <c r="D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</row>
    <row r="50" spans="1:18" x14ac:dyDescent="0.35">
      <c r="A50" s="17">
        <v>3</v>
      </c>
    </row>
    <row r="51" spans="1:18" x14ac:dyDescent="0.35">
      <c r="A51" s="17">
        <v>4</v>
      </c>
    </row>
    <row r="52" spans="1:18" x14ac:dyDescent="0.35">
      <c r="A52" s="17">
        <v>5</v>
      </c>
    </row>
    <row r="53" spans="1:18" x14ac:dyDescent="0.35">
      <c r="A53" s="17">
        <v>6</v>
      </c>
    </row>
    <row r="54" spans="1:18" x14ac:dyDescent="0.35">
      <c r="A54" s="17">
        <v>7</v>
      </c>
    </row>
    <row r="55" spans="1:18" x14ac:dyDescent="0.35">
      <c r="A55" s="17">
        <v>8</v>
      </c>
    </row>
    <row r="56" spans="1:18" x14ac:dyDescent="0.35">
      <c r="A56" s="17">
        <v>9</v>
      </c>
    </row>
    <row r="57" spans="1:18" x14ac:dyDescent="0.35">
      <c r="A57" s="17">
        <v>10</v>
      </c>
    </row>
    <row r="58" spans="1:18" x14ac:dyDescent="0.35">
      <c r="A58" s="17">
        <v>11</v>
      </c>
    </row>
    <row r="59" spans="1:18" x14ac:dyDescent="0.35">
      <c r="A59" s="17">
        <v>12</v>
      </c>
    </row>
    <row r="60" spans="1:18" x14ac:dyDescent="0.35">
      <c r="A60" s="17">
        <v>13</v>
      </c>
    </row>
    <row r="61" spans="1:18" x14ac:dyDescent="0.35">
      <c r="A61" s="17">
        <v>14</v>
      </c>
    </row>
    <row r="62" spans="1:18" x14ac:dyDescent="0.35">
      <c r="A62" s="17">
        <v>15</v>
      </c>
    </row>
    <row r="63" spans="1:18" x14ac:dyDescent="0.35">
      <c r="A63" s="17">
        <v>16</v>
      </c>
    </row>
    <row r="64" spans="1:18" x14ac:dyDescent="0.35">
      <c r="A64" s="17">
        <v>17</v>
      </c>
    </row>
    <row r="65" spans="1:1" x14ac:dyDescent="0.35">
      <c r="A65" s="17">
        <v>18</v>
      </c>
    </row>
    <row r="66" spans="1:1" x14ac:dyDescent="0.35">
      <c r="A66" s="17">
        <v>19</v>
      </c>
    </row>
    <row r="67" spans="1:1" x14ac:dyDescent="0.35">
      <c r="A67" s="17">
        <v>20</v>
      </c>
    </row>
    <row r="68" spans="1:1" x14ac:dyDescent="0.35">
      <c r="A68" s="17">
        <v>21</v>
      </c>
    </row>
    <row r="69" spans="1:1" x14ac:dyDescent="0.35">
      <c r="A69" s="17">
        <v>22</v>
      </c>
    </row>
    <row r="70" spans="1:1" x14ac:dyDescent="0.35">
      <c r="A70" s="17">
        <v>23</v>
      </c>
    </row>
    <row r="71" spans="1:1" x14ac:dyDescent="0.35">
      <c r="A71" s="17">
        <v>24</v>
      </c>
    </row>
    <row r="72" spans="1:1" x14ac:dyDescent="0.35">
      <c r="A72" s="17">
        <v>25</v>
      </c>
    </row>
    <row r="73" spans="1:1" x14ac:dyDescent="0.35">
      <c r="A73" s="17">
        <v>26</v>
      </c>
    </row>
    <row r="74" spans="1:1" x14ac:dyDescent="0.35">
      <c r="A74" s="17">
        <v>27</v>
      </c>
    </row>
    <row r="75" spans="1:1" x14ac:dyDescent="0.35">
      <c r="A75" s="17">
        <v>28</v>
      </c>
    </row>
    <row r="76" spans="1:1" x14ac:dyDescent="0.35">
      <c r="A76" s="17">
        <v>29</v>
      </c>
    </row>
    <row r="77" spans="1:1" x14ac:dyDescent="0.35">
      <c r="A77" s="17">
        <v>30</v>
      </c>
    </row>
    <row r="78" spans="1:1" x14ac:dyDescent="0.35">
      <c r="A78" s="17">
        <v>31</v>
      </c>
    </row>
    <row r="79" spans="1:1" x14ac:dyDescent="0.35">
      <c r="A79" s="17">
        <v>32</v>
      </c>
    </row>
    <row r="80" spans="1:1" x14ac:dyDescent="0.35">
      <c r="A80" s="17">
        <v>33</v>
      </c>
    </row>
    <row r="81" spans="1:1" x14ac:dyDescent="0.35">
      <c r="A81" s="17">
        <v>34</v>
      </c>
    </row>
    <row r="82" spans="1:1" x14ac:dyDescent="0.35">
      <c r="A82" s="17">
        <v>35</v>
      </c>
    </row>
    <row r="83" spans="1:1" x14ac:dyDescent="0.35">
      <c r="A83" s="17">
        <v>36</v>
      </c>
    </row>
    <row r="84" spans="1:1" x14ac:dyDescent="0.35">
      <c r="A84" s="17">
        <v>37</v>
      </c>
    </row>
    <row r="85" spans="1:1" x14ac:dyDescent="0.35">
      <c r="A85" s="17">
        <v>38</v>
      </c>
    </row>
    <row r="86" spans="1:1" x14ac:dyDescent="0.35">
      <c r="A86" s="17">
        <v>39</v>
      </c>
    </row>
    <row r="87" spans="1:1" x14ac:dyDescent="0.35">
      <c r="A87" s="17">
        <v>40</v>
      </c>
    </row>
    <row r="88" spans="1:1" x14ac:dyDescent="0.35">
      <c r="A88" s="17">
        <v>41</v>
      </c>
    </row>
    <row r="89" spans="1:1" x14ac:dyDescent="0.35">
      <c r="A89" s="17">
        <v>42</v>
      </c>
    </row>
  </sheetData>
  <autoFilter ref="A1:S43" xr:uid="{0E13D199-B172-4E19-ACA6-23F3849DC926}"/>
  <pageMargins left="0.25" right="0.25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92381-E3D9-402D-B9F7-E239F3304EF0}">
  <dimension ref="A1:U50"/>
  <sheetViews>
    <sheetView zoomScaleNormal="100" workbookViewId="0">
      <pane ySplit="1" topLeftCell="A2" activePane="bottomLeft" state="frozen"/>
      <selection pane="bottomLeft" activeCell="D37" sqref="D37"/>
    </sheetView>
  </sheetViews>
  <sheetFormatPr defaultRowHeight="14.5" x14ac:dyDescent="0.35"/>
  <cols>
    <col min="1" max="1" width="10.7265625" bestFit="1" customWidth="1"/>
    <col min="2" max="2" width="22.81640625" customWidth="1"/>
    <col min="3" max="3" width="20.26953125" bestFit="1" customWidth="1"/>
    <col min="4" max="4" width="26.26953125" bestFit="1" customWidth="1"/>
    <col min="5" max="5" width="13.1796875" bestFit="1" customWidth="1"/>
    <col min="6" max="6" width="7.1796875" bestFit="1" customWidth="1"/>
    <col min="7" max="7" width="15.453125" bestFit="1" customWidth="1"/>
    <col min="8" max="8" width="17.54296875" bestFit="1" customWidth="1"/>
    <col min="10" max="10" width="6.1796875" bestFit="1" customWidth="1"/>
    <col min="11" max="11" width="22.81640625" bestFit="1" customWidth="1"/>
    <col min="12" max="12" width="20.26953125" bestFit="1" customWidth="1"/>
    <col min="13" max="13" width="8.26953125" bestFit="1" customWidth="1"/>
    <col min="14" max="14" width="13.1796875" bestFit="1" customWidth="1"/>
    <col min="15" max="15" width="20.81640625" bestFit="1" customWidth="1"/>
    <col min="16" max="16" width="19.81640625" bestFit="1" customWidth="1"/>
    <col min="17" max="17" width="17.54296875" bestFit="1" customWidth="1"/>
  </cols>
  <sheetData>
    <row r="1" spans="1:21" ht="17.5" thickBot="1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4</v>
      </c>
      <c r="F1" s="8" t="s">
        <v>3</v>
      </c>
      <c r="G1" s="8" t="s">
        <v>97</v>
      </c>
      <c r="H1" s="8" t="s">
        <v>98</v>
      </c>
      <c r="J1" s="69" t="s">
        <v>99</v>
      </c>
      <c r="K1" s="69"/>
      <c r="L1" s="69"/>
      <c r="M1" s="69"/>
    </row>
    <row r="2" spans="1:21" ht="17.5" thickBot="1" x14ac:dyDescent="0.4">
      <c r="A2" s="39">
        <v>46023</v>
      </c>
      <c r="B2" s="40" t="s">
        <v>100</v>
      </c>
      <c r="C2" s="40" t="s">
        <v>101</v>
      </c>
      <c r="D2" s="40" t="s">
        <v>102</v>
      </c>
      <c r="E2" s="40">
        <v>158</v>
      </c>
      <c r="F2" s="40">
        <v>4</v>
      </c>
      <c r="G2" s="41">
        <f>IF(F2="","",VLOOKUP(F2,'Resumo Contrato Reajustado 2026'!$A$2:$S$43,18,0))</f>
        <v>1.0991687866482511</v>
      </c>
      <c r="H2" s="41">
        <f t="shared" ref="H2:H20" si="0">IF(F2="","",E2*G2)</f>
        <v>173.66866829042368</v>
      </c>
      <c r="J2" s="5" t="s">
        <v>3</v>
      </c>
      <c r="K2" s="5" t="s">
        <v>103</v>
      </c>
      <c r="L2" s="5" t="s">
        <v>104</v>
      </c>
      <c r="M2" s="5" t="s">
        <v>6</v>
      </c>
      <c r="O2" s="9" t="s">
        <v>105</v>
      </c>
      <c r="P2" s="15">
        <f>SUM(H2:H46)</f>
        <v>19590.546349364366</v>
      </c>
    </row>
    <row r="3" spans="1:21" x14ac:dyDescent="0.35">
      <c r="A3" s="42">
        <v>46023</v>
      </c>
      <c r="B3" s="43" t="s">
        <v>106</v>
      </c>
      <c r="C3" s="43" t="s">
        <v>107</v>
      </c>
      <c r="D3" s="43" t="s">
        <v>108</v>
      </c>
      <c r="E3" s="43">
        <v>126</v>
      </c>
      <c r="F3" s="43">
        <v>9</v>
      </c>
      <c r="G3" s="44">
        <f>IF(F3="","",VLOOKUP(F3,'Resumo Contrato Reajustado 2026'!$A$2:$S$43,18,0))</f>
        <v>17.09818112563946</v>
      </c>
      <c r="H3" s="44">
        <f t="shared" si="0"/>
        <v>2154.3708218305719</v>
      </c>
      <c r="J3" s="1">
        <v>1</v>
      </c>
      <c r="K3" s="1">
        <f t="shared" ref="K3:K44" si="1">SUMIF($F$2:$F$46,J3,$E$2:$E$46)</f>
        <v>0</v>
      </c>
      <c r="L3" s="1">
        <v>5</v>
      </c>
      <c r="M3" s="1">
        <f>L3-K3</f>
        <v>5</v>
      </c>
    </row>
    <row r="4" spans="1:21" x14ac:dyDescent="0.35">
      <c r="A4" s="42">
        <v>46023</v>
      </c>
      <c r="B4" s="43" t="s">
        <v>106</v>
      </c>
      <c r="C4" s="43" t="s">
        <v>107</v>
      </c>
      <c r="D4" s="43" t="s">
        <v>109</v>
      </c>
      <c r="E4" s="43">
        <v>293</v>
      </c>
      <c r="F4" s="43">
        <v>15</v>
      </c>
      <c r="G4" s="44">
        <f>IF(F4="","",VLOOKUP(F4,'Resumo Contrato Reajustado 2026'!$A$2:$S$43,18,0))</f>
        <v>1.343428517014529</v>
      </c>
      <c r="H4" s="44">
        <f>IF(F4="","",E4*G4)</f>
        <v>393.62455548525702</v>
      </c>
      <c r="J4" s="1">
        <v>2</v>
      </c>
      <c r="K4" s="1">
        <f t="shared" si="1"/>
        <v>0</v>
      </c>
      <c r="L4" s="1">
        <v>5</v>
      </c>
      <c r="M4" s="1">
        <f t="shared" ref="M4:M44" si="2">L4-K4</f>
        <v>5</v>
      </c>
    </row>
    <row r="5" spans="1:21" x14ac:dyDescent="0.35">
      <c r="A5" s="39">
        <v>46023</v>
      </c>
      <c r="B5" s="40" t="s">
        <v>110</v>
      </c>
      <c r="C5" s="40" t="s">
        <v>111</v>
      </c>
      <c r="D5" s="40" t="s">
        <v>112</v>
      </c>
      <c r="E5" s="40">
        <v>186</v>
      </c>
      <c r="F5" s="40">
        <v>16</v>
      </c>
      <c r="G5" s="41">
        <f>IF(F5="","",VLOOKUP(F5,'Resumo Contrato Reajustado 2026'!$A$2:$S$43,18,0))</f>
        <v>13.434285170145289</v>
      </c>
      <c r="H5" s="41">
        <f>IF(F5="","",E5*G5)</f>
        <v>2498.7770416470239</v>
      </c>
      <c r="J5" s="1">
        <v>3</v>
      </c>
      <c r="K5" s="1">
        <f t="shared" si="1"/>
        <v>0</v>
      </c>
      <c r="L5" s="1">
        <v>5</v>
      </c>
      <c r="M5" s="1">
        <f t="shared" si="2"/>
        <v>5</v>
      </c>
    </row>
    <row r="6" spans="1:21" x14ac:dyDescent="0.35">
      <c r="A6" s="39">
        <v>46023</v>
      </c>
      <c r="B6" s="40" t="s">
        <v>110</v>
      </c>
      <c r="C6" s="40" t="s">
        <v>111</v>
      </c>
      <c r="D6" s="40" t="s">
        <v>113</v>
      </c>
      <c r="E6" s="40">
        <v>15847</v>
      </c>
      <c r="F6" s="40">
        <v>21</v>
      </c>
      <c r="G6" s="41">
        <f>IF(F6="","",VLOOKUP(F6,'Resumo Contrato Reajustado 2026'!$A$2:$S$43,18,0))</f>
        <v>0.3786025820677309</v>
      </c>
      <c r="H6" s="41">
        <f>IF(F6="","",E6*G6)</f>
        <v>5999.7151180273313</v>
      </c>
      <c r="J6" s="1">
        <v>4</v>
      </c>
      <c r="K6" s="1">
        <f t="shared" si="1"/>
        <v>158</v>
      </c>
      <c r="L6" s="1">
        <v>200</v>
      </c>
      <c r="M6" s="1">
        <f t="shared" si="2"/>
        <v>42</v>
      </c>
    </row>
    <row r="7" spans="1:21" x14ac:dyDescent="0.35">
      <c r="A7" s="42">
        <v>46023</v>
      </c>
      <c r="B7" s="43" t="s">
        <v>114</v>
      </c>
      <c r="C7" s="43" t="s">
        <v>115</v>
      </c>
      <c r="D7" s="43" t="s">
        <v>116</v>
      </c>
      <c r="E7" s="43">
        <v>5427</v>
      </c>
      <c r="F7" s="43">
        <v>25</v>
      </c>
      <c r="G7" s="44">
        <f>IF(F7="","",VLOOKUP(F7,'Resumo Contrato Reajustado 2026'!$A$2:$S$43,18,0))</f>
        <v>0.854909056281973</v>
      </c>
      <c r="H7" s="44">
        <f>IF(F7="","",E7*G7)</f>
        <v>4639.5914484422674</v>
      </c>
      <c r="J7" s="1">
        <v>5</v>
      </c>
      <c r="K7" s="1">
        <f t="shared" si="1"/>
        <v>0</v>
      </c>
      <c r="L7" s="1">
        <v>200</v>
      </c>
      <c r="M7" s="1">
        <f t="shared" si="2"/>
        <v>200</v>
      </c>
      <c r="U7" t="s">
        <v>117</v>
      </c>
    </row>
    <row r="8" spans="1:21" x14ac:dyDescent="0.35">
      <c r="A8" s="39">
        <v>46023</v>
      </c>
      <c r="B8" s="40" t="s">
        <v>118</v>
      </c>
      <c r="C8" s="40" t="s">
        <v>119</v>
      </c>
      <c r="D8" s="40" t="s">
        <v>120</v>
      </c>
      <c r="E8" s="40">
        <v>158</v>
      </c>
      <c r="F8" s="40">
        <v>11</v>
      </c>
      <c r="G8" s="41">
        <f>IF(F8="","",VLOOKUP(F8,'Resumo Contrato Reajustado 2026'!$A$2:$S$43,18,0))</f>
        <v>1.0991687866482511</v>
      </c>
      <c r="H8" s="41">
        <f>IF(F8="","",E8*G8)</f>
        <v>173.66866829042368</v>
      </c>
      <c r="J8" s="1">
        <v>6</v>
      </c>
      <c r="K8" s="1">
        <f t="shared" si="1"/>
        <v>0</v>
      </c>
      <c r="L8" s="1">
        <v>300</v>
      </c>
      <c r="M8" s="1">
        <f t="shared" si="2"/>
        <v>300</v>
      </c>
    </row>
    <row r="9" spans="1:21" x14ac:dyDescent="0.35">
      <c r="A9" s="39">
        <v>46023</v>
      </c>
      <c r="B9" s="40" t="s">
        <v>118</v>
      </c>
      <c r="C9" s="40" t="s">
        <v>119</v>
      </c>
      <c r="D9" s="40" t="s">
        <v>121</v>
      </c>
      <c r="E9" s="40">
        <v>272</v>
      </c>
      <c r="F9" s="40">
        <v>27</v>
      </c>
      <c r="G9" s="41">
        <f>IF(F9="","",VLOOKUP(F9,'Resumo Contrato Reajustado 2026'!$A$2:$S$43,18,0))</f>
        <v>0.29311167643953356</v>
      </c>
      <c r="H9" s="41">
        <f t="shared" si="0"/>
        <v>79.726375991553127</v>
      </c>
      <c r="J9" s="1">
        <v>7</v>
      </c>
      <c r="K9" s="1">
        <f t="shared" si="1"/>
        <v>0</v>
      </c>
      <c r="L9" s="1">
        <v>100</v>
      </c>
      <c r="M9" s="1">
        <f t="shared" si="2"/>
        <v>100</v>
      </c>
    </row>
    <row r="10" spans="1:21" x14ac:dyDescent="0.35">
      <c r="A10" s="39">
        <v>46023</v>
      </c>
      <c r="B10" s="40" t="s">
        <v>118</v>
      </c>
      <c r="C10" s="40" t="s">
        <v>119</v>
      </c>
      <c r="D10" s="40" t="s">
        <v>122</v>
      </c>
      <c r="E10" s="40">
        <v>257</v>
      </c>
      <c r="F10" s="40">
        <v>30</v>
      </c>
      <c r="G10" s="41">
        <f>IF(F10="","",VLOOKUP(F10,'Resumo Contrato Reajustado 2026'!$A$2:$S$43,18,0))</f>
        <v>3.22422844083487</v>
      </c>
      <c r="H10" s="41">
        <f t="shared" si="0"/>
        <v>828.62670929456158</v>
      </c>
      <c r="J10" s="1">
        <v>8</v>
      </c>
      <c r="K10" s="1">
        <f t="shared" si="1"/>
        <v>0</v>
      </c>
      <c r="L10" s="1">
        <v>5</v>
      </c>
      <c r="M10" s="1">
        <f t="shared" si="2"/>
        <v>5</v>
      </c>
      <c r="O10" s="16"/>
    </row>
    <row r="11" spans="1:21" x14ac:dyDescent="0.35">
      <c r="A11" s="39">
        <v>46023</v>
      </c>
      <c r="B11" s="40" t="s">
        <v>118</v>
      </c>
      <c r="C11" s="40" t="s">
        <v>119</v>
      </c>
      <c r="D11" s="40" t="s">
        <v>123</v>
      </c>
      <c r="E11" s="40">
        <v>180</v>
      </c>
      <c r="F11" s="40">
        <v>31</v>
      </c>
      <c r="G11" s="41">
        <f>IF(F11="","",VLOOKUP(F11,'Resumo Contrato Reajustado 2026'!$A$2:$S$43,18,0))</f>
        <v>3.6638959554941697</v>
      </c>
      <c r="H11" s="41">
        <f t="shared" si="0"/>
        <v>659.50127198895052</v>
      </c>
      <c r="J11" s="1">
        <v>9</v>
      </c>
      <c r="K11" s="1">
        <f t="shared" si="1"/>
        <v>126</v>
      </c>
      <c r="L11" s="1">
        <v>200</v>
      </c>
      <c r="M11" s="1">
        <f t="shared" si="2"/>
        <v>74</v>
      </c>
    </row>
    <row r="12" spans="1:21" x14ac:dyDescent="0.35">
      <c r="A12" s="39">
        <v>46023</v>
      </c>
      <c r="B12" s="40" t="s">
        <v>118</v>
      </c>
      <c r="C12" s="40" t="s">
        <v>119</v>
      </c>
      <c r="D12" s="40" t="s">
        <v>124</v>
      </c>
      <c r="E12" s="40">
        <v>194</v>
      </c>
      <c r="F12" s="40">
        <v>32</v>
      </c>
      <c r="G12" s="41">
        <f>IF(F12="","",VLOOKUP(F12,'Resumo Contrato Reajustado 2026'!$A$2:$S$43,18,0))</f>
        <v>3.6638959554941697</v>
      </c>
      <c r="H12" s="41">
        <f t="shared" si="0"/>
        <v>710.79581536586898</v>
      </c>
      <c r="J12" s="1">
        <v>10</v>
      </c>
      <c r="K12" s="1">
        <f t="shared" si="1"/>
        <v>0</v>
      </c>
      <c r="L12" s="1">
        <v>200</v>
      </c>
      <c r="M12" s="1">
        <f t="shared" si="2"/>
        <v>200</v>
      </c>
    </row>
    <row r="13" spans="1:21" x14ac:dyDescent="0.35">
      <c r="A13" s="42">
        <v>46023</v>
      </c>
      <c r="B13" s="43" t="s">
        <v>125</v>
      </c>
      <c r="C13" s="43" t="s">
        <v>126</v>
      </c>
      <c r="D13" s="43" t="s">
        <v>127</v>
      </c>
      <c r="E13" s="43">
        <v>2333</v>
      </c>
      <c r="F13" s="43">
        <v>36</v>
      </c>
      <c r="G13" s="44">
        <f>IF(F13="","",VLOOKUP(F13,'Resumo Contrato Reajustado 2026'!$A$2:$S$43,18,0))</f>
        <v>0.48851946073255598</v>
      </c>
      <c r="H13" s="44">
        <f t="shared" si="0"/>
        <v>1139.7159018890532</v>
      </c>
      <c r="J13" s="1">
        <v>11</v>
      </c>
      <c r="K13" s="1">
        <f t="shared" si="1"/>
        <v>158</v>
      </c>
      <c r="L13" s="1">
        <v>200</v>
      </c>
      <c r="M13" s="1">
        <f t="shared" si="2"/>
        <v>42</v>
      </c>
    </row>
    <row r="14" spans="1:21" x14ac:dyDescent="0.35">
      <c r="A14" s="39">
        <v>46023</v>
      </c>
      <c r="B14" s="40" t="s">
        <v>128</v>
      </c>
      <c r="C14" s="40" t="s">
        <v>129</v>
      </c>
      <c r="D14" s="40" t="s">
        <v>130</v>
      </c>
      <c r="E14" s="40">
        <v>299</v>
      </c>
      <c r="F14" s="40">
        <v>37</v>
      </c>
      <c r="G14" s="41">
        <f>IF(F14="","",VLOOKUP(F14,'Resumo Contrato Reajustado 2026'!$A$2:$S$43,18,0))</f>
        <v>0.46409348769592823</v>
      </c>
      <c r="H14" s="41">
        <f t="shared" si="0"/>
        <v>138.76395282108254</v>
      </c>
      <c r="J14" s="1">
        <v>12</v>
      </c>
      <c r="K14" s="1">
        <f t="shared" si="1"/>
        <v>0</v>
      </c>
      <c r="L14" s="1">
        <v>100</v>
      </c>
      <c r="M14" s="1">
        <f t="shared" si="2"/>
        <v>100</v>
      </c>
    </row>
    <row r="15" spans="1:21" x14ac:dyDescent="0.35">
      <c r="A15" s="1"/>
      <c r="B15" s="1"/>
      <c r="C15" s="1"/>
      <c r="D15" s="1"/>
      <c r="E15" s="1"/>
      <c r="F15" s="1"/>
      <c r="G15" s="3" t="str">
        <f>IF(F15="","",VLOOKUP(F15,'Resumo Contrato Reajustado 2026'!$A$2:$S$43,18,0))</f>
        <v/>
      </c>
      <c r="H15" s="3" t="str">
        <f t="shared" ref="H15" si="3">IF(F15="","",E15*G15)</f>
        <v/>
      </c>
      <c r="J15" s="1">
        <v>13</v>
      </c>
      <c r="K15" s="1">
        <f t="shared" si="1"/>
        <v>0</v>
      </c>
      <c r="L15" s="1">
        <v>200</v>
      </c>
      <c r="M15" s="1">
        <f t="shared" si="2"/>
        <v>200</v>
      </c>
    </row>
    <row r="16" spans="1:21" x14ac:dyDescent="0.35">
      <c r="A16" s="1"/>
      <c r="B16" s="1"/>
      <c r="C16" s="1"/>
      <c r="D16" s="1"/>
      <c r="E16" s="1"/>
      <c r="F16" s="1"/>
      <c r="G16" s="3" t="str">
        <f>IF(F16="","",VLOOKUP(F16,'Resumo Contrato Reajustado 2026'!$A$2:$S$43,18,0))</f>
        <v/>
      </c>
      <c r="H16" s="3" t="str">
        <f t="shared" si="0"/>
        <v/>
      </c>
      <c r="J16" s="1">
        <v>14</v>
      </c>
      <c r="K16" s="1">
        <f t="shared" si="1"/>
        <v>0</v>
      </c>
      <c r="L16" s="1">
        <v>200</v>
      </c>
      <c r="M16" s="1">
        <f t="shared" si="2"/>
        <v>200</v>
      </c>
      <c r="P16" s="25"/>
    </row>
    <row r="17" spans="1:15" x14ac:dyDescent="0.35">
      <c r="A17" s="1"/>
      <c r="B17" s="1"/>
      <c r="C17" s="1"/>
      <c r="D17" s="1"/>
      <c r="E17" s="1"/>
      <c r="F17" s="1"/>
      <c r="G17" s="3" t="str">
        <f>IF(F17="","",VLOOKUP(F17,'Resumo Contrato Reajustado 2026'!$A$2:$S$43,18,0))</f>
        <v/>
      </c>
      <c r="H17" s="3" t="str">
        <f t="shared" si="0"/>
        <v/>
      </c>
      <c r="J17" s="1">
        <v>15</v>
      </c>
      <c r="K17" s="1">
        <f t="shared" si="1"/>
        <v>293</v>
      </c>
      <c r="L17" s="1">
        <v>300</v>
      </c>
      <c r="M17" s="1">
        <f t="shared" si="2"/>
        <v>7</v>
      </c>
    </row>
    <row r="18" spans="1:15" x14ac:dyDescent="0.35">
      <c r="A18" s="1"/>
      <c r="B18" s="1"/>
      <c r="C18" s="1"/>
      <c r="D18" s="1"/>
      <c r="E18" s="1"/>
      <c r="F18" s="1"/>
      <c r="G18" s="3" t="str">
        <f>IF(F18="","",VLOOKUP(F18,'Resumo Contrato Reajustado 2026'!$A$2:$S$43,18,0))</f>
        <v/>
      </c>
      <c r="H18" s="3" t="str">
        <f t="shared" si="0"/>
        <v/>
      </c>
      <c r="J18" s="1">
        <v>16</v>
      </c>
      <c r="K18" s="1">
        <f t="shared" si="1"/>
        <v>186</v>
      </c>
      <c r="L18" s="1">
        <v>200</v>
      </c>
      <c r="M18" s="1">
        <f t="shared" si="2"/>
        <v>14</v>
      </c>
    </row>
    <row r="19" spans="1:15" x14ac:dyDescent="0.35">
      <c r="A19" s="1"/>
      <c r="B19" s="1"/>
      <c r="C19" s="1"/>
      <c r="D19" s="1"/>
      <c r="E19" s="1"/>
      <c r="F19" s="1"/>
      <c r="G19" s="3" t="str">
        <f>IF(F19="","",VLOOKUP(F19,'Resumo Contrato Reajustado 2026'!$A$2:$S$43,18,0))</f>
        <v/>
      </c>
      <c r="H19" s="3" t="str">
        <f t="shared" si="0"/>
        <v/>
      </c>
      <c r="J19" s="1">
        <v>17</v>
      </c>
      <c r="K19" s="1">
        <f t="shared" si="1"/>
        <v>0</v>
      </c>
      <c r="L19" s="1">
        <v>200</v>
      </c>
      <c r="M19" s="1">
        <f t="shared" si="2"/>
        <v>200</v>
      </c>
      <c r="O19" s="25"/>
    </row>
    <row r="20" spans="1:15" x14ac:dyDescent="0.35">
      <c r="A20" s="1"/>
      <c r="B20" s="1"/>
      <c r="C20" s="1"/>
      <c r="D20" s="1"/>
      <c r="E20" s="1"/>
      <c r="F20" s="1"/>
      <c r="G20" s="3" t="str">
        <f>IF(F20="","",VLOOKUP(F20,'Resumo Contrato Reajustado 2026'!$A$2:$S$43,18,0))</f>
        <v/>
      </c>
      <c r="H20" s="3" t="str">
        <f t="shared" si="0"/>
        <v/>
      </c>
      <c r="J20" s="1">
        <v>18</v>
      </c>
      <c r="K20" s="1">
        <f t="shared" si="1"/>
        <v>0</v>
      </c>
      <c r="L20" s="1">
        <v>500</v>
      </c>
      <c r="M20" s="1">
        <f t="shared" si="2"/>
        <v>500</v>
      </c>
    </row>
    <row r="21" spans="1:15" x14ac:dyDescent="0.35">
      <c r="A21" s="1"/>
      <c r="B21" s="1"/>
      <c r="C21" s="1"/>
      <c r="D21" s="1"/>
      <c r="E21" s="1"/>
      <c r="F21" s="1"/>
      <c r="G21" s="3" t="str">
        <f>IF(F21="","",VLOOKUP(F21,'Resumo Contrato Reajustado 2026'!$A$2:$S$43,18,0))</f>
        <v/>
      </c>
      <c r="H21" s="3"/>
      <c r="I21" s="70"/>
      <c r="J21" s="1">
        <v>19</v>
      </c>
      <c r="K21" s="1">
        <f t="shared" si="1"/>
        <v>0</v>
      </c>
      <c r="L21" s="1">
        <v>80000</v>
      </c>
      <c r="M21" s="1">
        <f t="shared" si="2"/>
        <v>80000</v>
      </c>
    </row>
    <row r="22" spans="1:15" x14ac:dyDescent="0.35">
      <c r="A22" s="1"/>
      <c r="B22" s="1"/>
      <c r="C22" s="1"/>
      <c r="D22" s="1"/>
      <c r="E22" s="1"/>
      <c r="F22" s="1"/>
      <c r="G22" s="3" t="str">
        <f>IF(F22="","",VLOOKUP(F22,'Resumo Contrato Reajustado 2026'!$A$2:$S$43,18,0))</f>
        <v/>
      </c>
      <c r="H22" s="3"/>
      <c r="I22" s="70"/>
      <c r="J22" s="1">
        <v>20</v>
      </c>
      <c r="K22" s="1">
        <f t="shared" si="1"/>
        <v>0</v>
      </c>
      <c r="L22" s="1">
        <v>500</v>
      </c>
      <c r="M22" s="1">
        <f t="shared" si="2"/>
        <v>500</v>
      </c>
    </row>
    <row r="23" spans="1:15" x14ac:dyDescent="0.35">
      <c r="A23" s="1"/>
      <c r="B23" s="1"/>
      <c r="C23" s="1"/>
      <c r="D23" s="1"/>
      <c r="E23" s="1"/>
      <c r="F23" s="1"/>
      <c r="G23" s="3" t="str">
        <f>IF(F23="","",VLOOKUP(F23,'Resumo Contrato Reajustado 2026'!$A$2:$S$43,18,0))</f>
        <v/>
      </c>
      <c r="H23" s="3"/>
      <c r="I23" s="70"/>
      <c r="J23" s="1">
        <v>21</v>
      </c>
      <c r="K23" s="1">
        <f t="shared" si="1"/>
        <v>15847</v>
      </c>
      <c r="L23" s="1">
        <v>50000</v>
      </c>
      <c r="M23" s="1">
        <f t="shared" si="2"/>
        <v>34153</v>
      </c>
    </row>
    <row r="24" spans="1:15" x14ac:dyDescent="0.35">
      <c r="A24" s="1"/>
      <c r="B24" s="1"/>
      <c r="C24" s="1"/>
      <c r="D24" s="1"/>
      <c r="E24" s="1"/>
      <c r="F24" s="1"/>
      <c r="G24" s="3" t="str">
        <f>IF(F24="","",VLOOKUP(F24,'Resumo Contrato Reajustado 2026'!$A$2:$S$43,18,0))</f>
        <v/>
      </c>
      <c r="H24" s="3"/>
      <c r="I24" s="70"/>
      <c r="J24" s="1">
        <v>22</v>
      </c>
      <c r="K24" s="1">
        <f t="shared" si="1"/>
        <v>0</v>
      </c>
      <c r="L24" s="1">
        <v>500</v>
      </c>
      <c r="M24" s="1">
        <f t="shared" si="2"/>
        <v>500</v>
      </c>
    </row>
    <row r="25" spans="1:15" x14ac:dyDescent="0.35">
      <c r="A25" s="1"/>
      <c r="B25" s="1"/>
      <c r="C25" s="1"/>
      <c r="D25" s="1"/>
      <c r="E25" s="1"/>
      <c r="F25" s="1"/>
      <c r="G25" s="3" t="str">
        <f>IF(F25="","",VLOOKUP(F25,'Resumo Contrato Reajustado 2026'!$A$2:$S$43,18,0))</f>
        <v/>
      </c>
      <c r="H25" s="3"/>
      <c r="I25" s="70"/>
      <c r="J25" s="1">
        <v>23</v>
      </c>
      <c r="K25" s="1">
        <f t="shared" si="1"/>
        <v>0</v>
      </c>
      <c r="L25" s="1">
        <v>80000</v>
      </c>
      <c r="M25" s="1">
        <f t="shared" si="2"/>
        <v>80000</v>
      </c>
    </row>
    <row r="26" spans="1:15" x14ac:dyDescent="0.35">
      <c r="A26" s="1"/>
      <c r="B26" s="1"/>
      <c r="C26" s="1"/>
      <c r="D26" s="1"/>
      <c r="E26" s="1"/>
      <c r="F26" s="1"/>
      <c r="G26" s="3" t="str">
        <f>IF(F26="","",VLOOKUP(F26,'Resumo Contrato Reajustado 2026'!$A$2:$S$43,18,0))</f>
        <v/>
      </c>
      <c r="H26" s="3"/>
      <c r="I26" s="70"/>
      <c r="J26" s="1">
        <v>24</v>
      </c>
      <c r="K26" s="1">
        <f t="shared" si="1"/>
        <v>0</v>
      </c>
      <c r="L26" s="1">
        <v>500</v>
      </c>
      <c r="M26" s="1">
        <f t="shared" si="2"/>
        <v>500</v>
      </c>
    </row>
    <row r="27" spans="1:15" x14ac:dyDescent="0.35">
      <c r="A27" s="1"/>
      <c r="B27" s="1"/>
      <c r="C27" s="1"/>
      <c r="D27" s="1"/>
      <c r="E27" s="1"/>
      <c r="F27" s="1"/>
      <c r="G27" s="3" t="str">
        <f>IF(F27="","",VLOOKUP(F27,'Resumo Contrato Reajustado 2026'!$A$2:$S$43,18,0))</f>
        <v/>
      </c>
      <c r="H27" s="3"/>
      <c r="I27" s="70"/>
      <c r="J27" s="1">
        <v>25</v>
      </c>
      <c r="K27" s="1">
        <f t="shared" si="1"/>
        <v>5427</v>
      </c>
      <c r="L27" s="1">
        <v>50000</v>
      </c>
      <c r="M27" s="1">
        <f t="shared" si="2"/>
        <v>44573</v>
      </c>
    </row>
    <row r="28" spans="1:15" x14ac:dyDescent="0.35">
      <c r="A28" s="1"/>
      <c r="B28" s="1"/>
      <c r="C28" s="1"/>
      <c r="D28" s="1"/>
      <c r="E28" s="1"/>
      <c r="F28" s="1"/>
      <c r="G28" s="3" t="str">
        <f>IF(F28="","",VLOOKUP(F28,'Resumo Contrato Reajustado 2026'!$A$2:$S$43,18,0))</f>
        <v/>
      </c>
      <c r="H28" s="3"/>
      <c r="I28" s="70"/>
      <c r="J28" s="1">
        <v>26</v>
      </c>
      <c r="K28" s="1">
        <f t="shared" si="1"/>
        <v>0</v>
      </c>
      <c r="L28" s="1">
        <v>300</v>
      </c>
      <c r="M28" s="1">
        <f t="shared" si="2"/>
        <v>300</v>
      </c>
    </row>
    <row r="29" spans="1:15" x14ac:dyDescent="0.35">
      <c r="A29" s="1"/>
      <c r="B29" s="1"/>
      <c r="C29" s="1"/>
      <c r="D29" s="1"/>
      <c r="E29" s="1"/>
      <c r="F29" s="1"/>
      <c r="G29" s="3" t="str">
        <f>IF(F29="","",VLOOKUP(F29,'Resumo Contrato Reajustado 2026'!$A$2:$S$43,18,0))</f>
        <v/>
      </c>
      <c r="H29" s="3" t="str">
        <f>IF(F29="","",E29*G29)</f>
        <v/>
      </c>
      <c r="I29" s="70"/>
      <c r="J29" s="1">
        <v>27</v>
      </c>
      <c r="K29" s="1">
        <f t="shared" si="1"/>
        <v>272</v>
      </c>
      <c r="L29" s="1">
        <v>300</v>
      </c>
      <c r="M29" s="1">
        <f t="shared" si="2"/>
        <v>28</v>
      </c>
    </row>
    <row r="30" spans="1:15" x14ac:dyDescent="0.35">
      <c r="A30" s="1"/>
      <c r="B30" s="1"/>
      <c r="C30" s="1"/>
      <c r="D30" s="1"/>
      <c r="E30" s="1"/>
      <c r="F30" s="1"/>
      <c r="G30" s="3" t="str">
        <f>IF(F30="","",VLOOKUP(F30,'Resumo Contrato Reajustado 2026'!$A$2:$S$43,18,0))</f>
        <v/>
      </c>
      <c r="H30" s="3"/>
      <c r="J30" s="1">
        <v>28</v>
      </c>
      <c r="K30" s="1">
        <f t="shared" si="1"/>
        <v>0</v>
      </c>
      <c r="L30" s="1">
        <v>300</v>
      </c>
      <c r="M30" s="1">
        <f t="shared" si="2"/>
        <v>300</v>
      </c>
    </row>
    <row r="31" spans="1:15" x14ac:dyDescent="0.35">
      <c r="A31" s="1"/>
      <c r="B31" s="1"/>
      <c r="C31" s="1"/>
      <c r="D31" s="1"/>
      <c r="E31" s="1"/>
      <c r="F31" s="1"/>
      <c r="G31" s="3" t="str">
        <f>IF(F31="","",VLOOKUP(F31,'Resumo Contrato Reajustado 2026'!$A$2:$S$43,18,0))</f>
        <v/>
      </c>
      <c r="H31" s="3"/>
      <c r="I31" s="70"/>
      <c r="J31" s="1">
        <v>29</v>
      </c>
      <c r="K31" s="1">
        <f t="shared" si="1"/>
        <v>0</v>
      </c>
      <c r="L31" s="1">
        <v>300</v>
      </c>
      <c r="M31" s="1">
        <f t="shared" si="2"/>
        <v>300</v>
      </c>
    </row>
    <row r="32" spans="1:15" ht="15" customHeight="1" x14ac:dyDescent="0.35">
      <c r="A32" s="1"/>
      <c r="B32" s="1"/>
      <c r="C32" s="1"/>
      <c r="D32" s="1"/>
      <c r="E32" s="1"/>
      <c r="F32" s="1"/>
      <c r="G32" s="3" t="str">
        <f>IF(F32="","",VLOOKUP(F32,'Resumo Contrato Reajustado 2026'!$A$2:$S$43,18,0))</f>
        <v/>
      </c>
      <c r="H32" s="3"/>
      <c r="I32" s="70"/>
      <c r="J32" s="1">
        <v>30</v>
      </c>
      <c r="K32" s="1">
        <f t="shared" si="1"/>
        <v>257</v>
      </c>
      <c r="L32" s="1">
        <v>300</v>
      </c>
      <c r="M32" s="1">
        <f t="shared" si="2"/>
        <v>43</v>
      </c>
    </row>
    <row r="33" spans="1:13" ht="15" customHeight="1" x14ac:dyDescent="0.35">
      <c r="A33" s="1"/>
      <c r="B33" s="1"/>
      <c r="C33" s="1"/>
      <c r="D33" s="1"/>
      <c r="E33" s="1"/>
      <c r="F33" s="1"/>
      <c r="G33" s="3" t="str">
        <f>IF(F33="","",VLOOKUP(F33,'Resumo Contrato Reajustado 2026'!$A$2:$S$43,18,0))</f>
        <v/>
      </c>
      <c r="H33" s="3"/>
      <c r="I33" s="70"/>
      <c r="J33" s="1">
        <v>31</v>
      </c>
      <c r="K33" s="1">
        <f t="shared" si="1"/>
        <v>180</v>
      </c>
      <c r="L33" s="1">
        <v>300</v>
      </c>
      <c r="M33" s="1">
        <f t="shared" si="2"/>
        <v>120</v>
      </c>
    </row>
    <row r="34" spans="1:13" ht="15" customHeight="1" x14ac:dyDescent="0.35">
      <c r="A34" s="1"/>
      <c r="B34" s="1" t="s">
        <v>118</v>
      </c>
      <c r="C34" s="1"/>
      <c r="D34" s="1" t="s">
        <v>131</v>
      </c>
      <c r="E34" s="1">
        <f>6</f>
        <v>6</v>
      </c>
      <c r="F34" s="1"/>
      <c r="G34" s="3"/>
      <c r="H34" s="3"/>
      <c r="I34" s="70"/>
      <c r="J34" s="1">
        <v>32</v>
      </c>
      <c r="K34" s="1">
        <f t="shared" si="1"/>
        <v>194</v>
      </c>
      <c r="L34" s="1">
        <v>300</v>
      </c>
      <c r="M34" s="1">
        <f t="shared" si="2"/>
        <v>106</v>
      </c>
    </row>
    <row r="35" spans="1:13" ht="15" customHeight="1" x14ac:dyDescent="0.35">
      <c r="A35" s="1"/>
      <c r="B35" s="1"/>
      <c r="C35" s="1"/>
      <c r="D35" s="1"/>
      <c r="E35" s="1"/>
      <c r="F35" s="1"/>
      <c r="G35" s="3" t="str">
        <f>IF(F35="","",VLOOKUP(F35,'Resumo Contrato Reajustado 2026'!$A$2:$S$43,18,0))</f>
        <v/>
      </c>
      <c r="H35" s="3"/>
      <c r="I35" s="70"/>
      <c r="J35" s="1">
        <v>33</v>
      </c>
      <c r="K35" s="1">
        <f t="shared" si="1"/>
        <v>0</v>
      </c>
      <c r="L35" s="1">
        <v>200</v>
      </c>
      <c r="M35" s="1">
        <f t="shared" si="2"/>
        <v>200</v>
      </c>
    </row>
    <row r="36" spans="1:13" ht="15" customHeight="1" x14ac:dyDescent="0.35">
      <c r="A36" s="1"/>
      <c r="B36" s="1"/>
      <c r="C36" s="1"/>
      <c r="D36" s="1"/>
      <c r="E36" s="1"/>
      <c r="F36" s="1"/>
      <c r="G36" s="3" t="str">
        <f>IF(F36="","",VLOOKUP(F36,'Resumo Contrato Reajustado 2026'!$A$2:$S$43,18,0))</f>
        <v/>
      </c>
      <c r="H36" s="3"/>
      <c r="I36" s="70"/>
      <c r="J36" s="1">
        <v>34</v>
      </c>
      <c r="K36" s="1">
        <f t="shared" si="1"/>
        <v>0</v>
      </c>
      <c r="L36" s="1">
        <v>200</v>
      </c>
      <c r="M36" s="1">
        <f t="shared" si="2"/>
        <v>200</v>
      </c>
    </row>
    <row r="37" spans="1:13" x14ac:dyDescent="0.35">
      <c r="A37" s="1"/>
      <c r="B37" s="1"/>
      <c r="C37" s="1"/>
      <c r="D37" s="1"/>
      <c r="E37" s="1"/>
      <c r="F37" s="1"/>
      <c r="G37" s="3" t="str">
        <f>IF(F37="","",VLOOKUP(F37,'Resumo Contrato Reajustado 2026'!$A$2:$S$43,18,0))</f>
        <v/>
      </c>
      <c r="H37" s="3"/>
      <c r="J37" s="1">
        <v>35</v>
      </c>
      <c r="K37" s="1">
        <f t="shared" si="1"/>
        <v>0</v>
      </c>
      <c r="L37" s="1">
        <v>200</v>
      </c>
      <c r="M37" s="1">
        <f t="shared" si="2"/>
        <v>200</v>
      </c>
    </row>
    <row r="38" spans="1:13" x14ac:dyDescent="0.35">
      <c r="A38" s="1"/>
      <c r="B38" s="1"/>
      <c r="C38" s="1"/>
      <c r="D38" s="1"/>
      <c r="E38" s="1"/>
      <c r="F38" s="1"/>
      <c r="G38" s="3" t="str">
        <f>IF(F38="","",VLOOKUP(F38,'Resumo Contrato Reajustado 2026'!$A$2:$S$43,18,0))</f>
        <v/>
      </c>
      <c r="H38" s="3"/>
      <c r="J38" s="1">
        <v>36</v>
      </c>
      <c r="K38" s="1">
        <f t="shared" si="1"/>
        <v>2333</v>
      </c>
      <c r="L38" s="1">
        <v>5000</v>
      </c>
      <c r="M38" s="1">
        <f t="shared" si="2"/>
        <v>2667</v>
      </c>
    </row>
    <row r="39" spans="1:13" x14ac:dyDescent="0.35">
      <c r="A39" s="1"/>
      <c r="B39" s="1"/>
      <c r="C39" s="1"/>
      <c r="D39" s="1"/>
      <c r="E39" s="1"/>
      <c r="F39" s="1"/>
      <c r="G39" s="3" t="str">
        <f>IF(F39="","",VLOOKUP(F39,'Resumo Contrato Reajustado 2026'!$A$2:$S$43,18,0))</f>
        <v/>
      </c>
      <c r="H39" s="3"/>
      <c r="J39" s="1">
        <v>37</v>
      </c>
      <c r="K39" s="1">
        <f t="shared" si="1"/>
        <v>299</v>
      </c>
      <c r="L39" s="1">
        <v>300</v>
      </c>
      <c r="M39" s="1">
        <f t="shared" si="2"/>
        <v>1</v>
      </c>
    </row>
    <row r="40" spans="1:13" x14ac:dyDescent="0.35">
      <c r="A40" s="1"/>
      <c r="B40" s="1"/>
      <c r="C40" s="1"/>
      <c r="D40" s="1"/>
      <c r="E40" s="1"/>
      <c r="F40" s="1"/>
      <c r="G40" s="3" t="str">
        <f>IF(F40="","",VLOOKUP(F40,'Resumo Contrato Reajustado 2026'!$A$2:$S$43,18,0))</f>
        <v/>
      </c>
      <c r="H40" s="3"/>
      <c r="J40" s="1">
        <v>38</v>
      </c>
      <c r="K40" s="1">
        <f t="shared" si="1"/>
        <v>0</v>
      </c>
      <c r="L40" s="1">
        <v>300</v>
      </c>
      <c r="M40" s="1">
        <f t="shared" si="2"/>
        <v>300</v>
      </c>
    </row>
    <row r="41" spans="1:13" x14ac:dyDescent="0.35">
      <c r="A41" s="1"/>
      <c r="B41" s="1"/>
      <c r="C41" s="1"/>
      <c r="D41" s="1"/>
      <c r="E41" s="1"/>
      <c r="F41" s="1"/>
      <c r="G41" s="3" t="str">
        <f>IF(F41="","",VLOOKUP(F41,'Resumo Contrato Reajustado 2026'!$A$2:$S$43,18,0))</f>
        <v/>
      </c>
      <c r="H41" s="3"/>
      <c r="J41" s="1">
        <v>39</v>
      </c>
      <c r="K41" s="1">
        <f t="shared" si="1"/>
        <v>0</v>
      </c>
      <c r="L41" s="1">
        <v>30</v>
      </c>
      <c r="M41" s="1">
        <f t="shared" si="2"/>
        <v>30</v>
      </c>
    </row>
    <row r="42" spans="1:13" x14ac:dyDescent="0.35">
      <c r="A42" s="1"/>
      <c r="B42" s="1"/>
      <c r="C42" s="1"/>
      <c r="D42" s="1"/>
      <c r="E42" s="1"/>
      <c r="F42" s="1"/>
      <c r="G42" s="3" t="str">
        <f>IF(F42="","",VLOOKUP(F42,'Resumo Contrato Reajustado 2026'!$A$2:$S$43,18,0))</f>
        <v/>
      </c>
      <c r="H42" s="3"/>
      <c r="J42" s="1">
        <v>40</v>
      </c>
      <c r="K42" s="1">
        <f t="shared" si="1"/>
        <v>0</v>
      </c>
      <c r="L42" s="1">
        <v>30</v>
      </c>
      <c r="M42" s="1">
        <f t="shared" si="2"/>
        <v>30</v>
      </c>
    </row>
    <row r="43" spans="1:13" x14ac:dyDescent="0.35">
      <c r="A43" s="1"/>
      <c r="B43" s="1"/>
      <c r="C43" s="1"/>
      <c r="D43" s="1"/>
      <c r="E43" s="1"/>
      <c r="F43" s="1"/>
      <c r="G43" s="3" t="str">
        <f>IF(F43="","",VLOOKUP(F43,'Resumo Contrato Reajustado 2026'!$A$2:$S$43,18,0))</f>
        <v/>
      </c>
      <c r="H43" s="3"/>
      <c r="J43" s="1">
        <v>41</v>
      </c>
      <c r="K43" s="1">
        <f t="shared" si="1"/>
        <v>0</v>
      </c>
      <c r="L43" s="1">
        <v>30</v>
      </c>
      <c r="M43" s="1">
        <f t="shared" si="2"/>
        <v>30</v>
      </c>
    </row>
    <row r="44" spans="1:13" x14ac:dyDescent="0.35">
      <c r="A44" s="1"/>
      <c r="B44" s="1"/>
      <c r="C44" s="1"/>
      <c r="D44" s="1"/>
      <c r="E44" s="1"/>
      <c r="F44" s="1"/>
      <c r="G44" s="3" t="str">
        <f>IF(F44="","",VLOOKUP(F44,'Resumo Contrato Reajustado 2026'!$A$2:$S$43,18,0))</f>
        <v/>
      </c>
      <c r="H44" s="3"/>
      <c r="J44" s="1">
        <v>42</v>
      </c>
      <c r="K44" s="1">
        <f t="shared" si="1"/>
        <v>0</v>
      </c>
      <c r="L44" s="1">
        <v>30</v>
      </c>
      <c r="M44" s="1">
        <f t="shared" si="2"/>
        <v>30</v>
      </c>
    </row>
    <row r="45" spans="1:13" x14ac:dyDescent="0.35">
      <c r="A45" s="1"/>
      <c r="B45" s="1"/>
      <c r="C45" s="1"/>
      <c r="D45" s="1"/>
      <c r="E45" s="1"/>
      <c r="F45" s="1"/>
      <c r="G45" s="3" t="str">
        <f>IF(F45="","",VLOOKUP(F45,'Resumo Contrato Reajustado 2026'!$A$2:$S$43,18,0))</f>
        <v/>
      </c>
      <c r="H45" s="3"/>
    </row>
    <row r="46" spans="1:13" x14ac:dyDescent="0.35">
      <c r="A46" s="1"/>
      <c r="B46" s="1"/>
      <c r="C46" s="1"/>
      <c r="D46" s="1"/>
      <c r="E46" s="1"/>
      <c r="F46" s="1"/>
      <c r="G46" s="3" t="str">
        <f>IF(F46="","",VLOOKUP(F46,'Resumo Contrato Reajustado 2026'!$A$2:$S$43,18,0))</f>
        <v/>
      </c>
      <c r="H46" s="3"/>
    </row>
    <row r="47" spans="1:13" x14ac:dyDescent="0.35">
      <c r="A47" s="1"/>
      <c r="B47" s="1"/>
      <c r="C47" s="1"/>
      <c r="D47" s="1"/>
      <c r="E47" s="1"/>
      <c r="F47" s="1"/>
      <c r="G47" s="3" t="str">
        <f>IF(F47="","",VLOOKUP(F47,'Resumo Contrato Reajustado 2026'!$A$2:$S$43,18,0))</f>
        <v/>
      </c>
      <c r="H47" s="3"/>
    </row>
    <row r="48" spans="1:13" x14ac:dyDescent="0.35">
      <c r="A48" s="1"/>
      <c r="B48" s="1"/>
      <c r="C48" s="1"/>
      <c r="D48" s="1"/>
      <c r="E48" s="1"/>
      <c r="F48" s="1"/>
      <c r="G48" s="3" t="str">
        <f>IF(F48="","",VLOOKUP(F48,'Resumo Contrato Reajustado 2026'!$A$2:$S$43,18,0))</f>
        <v/>
      </c>
      <c r="H48" s="3"/>
    </row>
    <row r="49" spans="1:8" x14ac:dyDescent="0.35">
      <c r="A49" s="1"/>
      <c r="B49" s="1"/>
      <c r="C49" s="1"/>
      <c r="D49" s="1"/>
      <c r="E49" s="1"/>
      <c r="F49" s="1"/>
      <c r="G49" s="3" t="str">
        <f>IF(F49="","",VLOOKUP(F49,'Resumo Contrato Reajustado 2026'!$A$2:$S$43,18,0))</f>
        <v/>
      </c>
      <c r="H49" s="3"/>
    </row>
    <row r="50" spans="1:8" x14ac:dyDescent="0.35">
      <c r="A50" s="1"/>
      <c r="B50" s="1"/>
      <c r="C50" s="1"/>
      <c r="D50" s="1"/>
      <c r="E50" s="1"/>
      <c r="F50" s="1"/>
      <c r="G50" s="3" t="str">
        <f>IF(F50="","",VLOOKUP(F50,'Resumo Contrato Reajustado 2026'!$A$2:$S$43,18,0))</f>
        <v/>
      </c>
      <c r="H50" s="3"/>
    </row>
  </sheetData>
  <autoFilter ref="A1:H45" xr:uid="{7F292381-E3D9-402D-B9F7-E239F3304EF0}"/>
  <sortState xmlns:xlrd2="http://schemas.microsoft.com/office/spreadsheetml/2017/richdata2" ref="A2:H15">
    <sortCondition ref="F2:F15"/>
  </sortState>
  <mergeCells count="3">
    <mergeCell ref="J1:M1"/>
    <mergeCell ref="I31:I36"/>
    <mergeCell ref="I21:I29"/>
  </mergeCells>
  <conditionalFormatting sqref="K3:K44">
    <cfRule type="cellIs" dxfId="10" priority="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BB7587-0F19-4062-8D91-D0C7C564EDC2}">
          <x14:formula1>
            <xm:f>'Resumo Contrato Reajustado 2026'!$A$47:$A$89</xm:f>
          </x14:formula1>
          <xm:sqref>F17:F28 F30:F50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7510-E5BC-497C-A30E-DF4F7578EDE3}">
  <dimension ref="A1:U50"/>
  <sheetViews>
    <sheetView zoomScaleNormal="100" workbookViewId="0">
      <pane ySplit="1" topLeftCell="A2" activePane="bottomLeft" state="frozen"/>
      <selection pane="bottomLeft" activeCell="K3" sqref="K3"/>
    </sheetView>
  </sheetViews>
  <sheetFormatPr defaultRowHeight="14.5" x14ac:dyDescent="0.35"/>
  <cols>
    <col min="1" max="1" width="10.7265625" bestFit="1" customWidth="1"/>
    <col min="2" max="2" width="18.81640625" bestFit="1" customWidth="1"/>
    <col min="3" max="3" width="20.26953125" bestFit="1" customWidth="1"/>
    <col min="4" max="4" width="34.7265625" customWidth="1"/>
    <col min="5" max="5" width="13.1796875" bestFit="1" customWidth="1"/>
    <col min="6" max="6" width="7.1796875" bestFit="1" customWidth="1"/>
    <col min="7" max="7" width="15.453125" bestFit="1" customWidth="1"/>
    <col min="8" max="8" width="17.54296875" bestFit="1" customWidth="1"/>
    <col min="9" max="9" width="13.26953125" bestFit="1" customWidth="1"/>
    <col min="10" max="10" width="6.1796875" bestFit="1" customWidth="1"/>
    <col min="11" max="11" width="22.81640625" bestFit="1" customWidth="1"/>
    <col min="12" max="12" width="20.26953125" bestFit="1" customWidth="1"/>
    <col min="13" max="13" width="8.26953125" bestFit="1" customWidth="1"/>
    <col min="14" max="14" width="13.1796875" bestFit="1" customWidth="1"/>
    <col min="15" max="15" width="33" bestFit="1" customWidth="1"/>
    <col min="16" max="16" width="19.81640625" bestFit="1" customWidth="1"/>
    <col min="17" max="17" width="17.54296875" bestFit="1" customWidth="1"/>
  </cols>
  <sheetData>
    <row r="1" spans="1:21" ht="17.5" thickBot="1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4</v>
      </c>
      <c r="F1" s="8" t="s">
        <v>3</v>
      </c>
      <c r="G1" s="8" t="s">
        <v>97</v>
      </c>
      <c r="H1" s="8" t="s">
        <v>98</v>
      </c>
      <c r="J1" s="69" t="s">
        <v>99</v>
      </c>
      <c r="K1" s="69"/>
      <c r="L1" s="69"/>
      <c r="M1" s="69"/>
    </row>
    <row r="2" spans="1:21" ht="17.5" thickBot="1" x14ac:dyDescent="0.4">
      <c r="A2" s="39">
        <v>46054</v>
      </c>
      <c r="B2" s="40" t="s">
        <v>132</v>
      </c>
      <c r="C2" s="40" t="s">
        <v>119</v>
      </c>
      <c r="D2" s="40" t="s">
        <v>133</v>
      </c>
      <c r="E2" s="40">
        <v>243</v>
      </c>
      <c r="F2" s="40">
        <v>15</v>
      </c>
      <c r="G2" s="41">
        <f>IF(F2="","",VLOOKUP(F2,'Resumo Contrato Reajustado 2026'!$A$2:$S$43,18,0))</f>
        <v>1.343428517014529</v>
      </c>
      <c r="H2" s="41">
        <f t="shared" ref="H2:H35" si="0">IF(F2="","",E2*G2)</f>
        <v>326.45312963453057</v>
      </c>
      <c r="I2" s="33"/>
      <c r="J2" s="5" t="s">
        <v>3</v>
      </c>
      <c r="K2" s="5" t="s">
        <v>103</v>
      </c>
      <c r="L2" s="5" t="s">
        <v>104</v>
      </c>
      <c r="M2" s="5" t="s">
        <v>6</v>
      </c>
      <c r="O2" s="9" t="s">
        <v>105</v>
      </c>
      <c r="P2" s="15">
        <f>SUM(H2:H46)</f>
        <v>82020.35346227455</v>
      </c>
    </row>
    <row r="3" spans="1:21" x14ac:dyDescent="0.35">
      <c r="A3" s="39">
        <v>46054</v>
      </c>
      <c r="B3" s="40" t="s">
        <v>132</v>
      </c>
      <c r="C3" s="40" t="s">
        <v>119</v>
      </c>
      <c r="D3" s="40" t="s">
        <v>134</v>
      </c>
      <c r="E3" s="40">
        <v>5</v>
      </c>
      <c r="F3" s="40">
        <v>2</v>
      </c>
      <c r="G3" s="41">
        <f>IF(F3="","",VLOOKUP(F3,'Resumo Contrato Reajustado 2026'!$A$2:$S$43,18,0))</f>
        <v>103.81038540566817</v>
      </c>
      <c r="H3" s="41">
        <f t="shared" si="0"/>
        <v>519.05192702834086</v>
      </c>
      <c r="I3" s="33"/>
      <c r="J3" s="1">
        <v>1</v>
      </c>
      <c r="K3" s="1">
        <f t="shared" ref="K3:K44" si="1">SUMIF($F$2:$F$46,J3,$E$2:$E$46)</f>
        <v>0</v>
      </c>
      <c r="L3" s="1">
        <v>5</v>
      </c>
      <c r="M3" s="1">
        <f t="shared" ref="M3:M44" si="2">L3-K3</f>
        <v>5</v>
      </c>
    </row>
    <row r="4" spans="1:21" x14ac:dyDescent="0.35">
      <c r="A4" s="39">
        <v>46054</v>
      </c>
      <c r="B4" s="40" t="s">
        <v>132</v>
      </c>
      <c r="C4" s="40" t="s">
        <v>119</v>
      </c>
      <c r="D4" s="40" t="s">
        <v>135</v>
      </c>
      <c r="E4" s="40">
        <v>200</v>
      </c>
      <c r="F4" s="40">
        <v>4</v>
      </c>
      <c r="G4" s="41">
        <f>IF(F4="","",VLOOKUP(F4,'Resumo Contrato Reajustado 2026'!$A$2:$S$43,18,0))</f>
        <v>1.0991687866482511</v>
      </c>
      <c r="H4" s="41">
        <f t="shared" si="0"/>
        <v>219.83375732965021</v>
      </c>
      <c r="I4" s="33"/>
      <c r="J4" s="1">
        <v>2</v>
      </c>
      <c r="K4" s="1">
        <f t="shared" si="1"/>
        <v>5</v>
      </c>
      <c r="L4" s="1">
        <v>5</v>
      </c>
      <c r="M4" s="1">
        <f t="shared" si="2"/>
        <v>0</v>
      </c>
    </row>
    <row r="5" spans="1:21" x14ac:dyDescent="0.35">
      <c r="A5" s="39">
        <v>46054</v>
      </c>
      <c r="B5" s="40" t="s">
        <v>132</v>
      </c>
      <c r="C5" s="40" t="s">
        <v>119</v>
      </c>
      <c r="D5" s="40" t="s">
        <v>136</v>
      </c>
      <c r="E5" s="40">
        <v>166</v>
      </c>
      <c r="F5" s="40">
        <v>5</v>
      </c>
      <c r="G5" s="41">
        <f>IF(F5="","",VLOOKUP(F5,'Resumo Contrato Reajustado 2026'!$A$2:$S$43,18,0))</f>
        <v>1.0991687866482511</v>
      </c>
      <c r="H5" s="41">
        <f t="shared" si="0"/>
        <v>182.46201858360968</v>
      </c>
      <c r="I5" s="33"/>
      <c r="J5" s="1">
        <v>3</v>
      </c>
      <c r="K5" s="1">
        <f t="shared" si="1"/>
        <v>0</v>
      </c>
      <c r="L5" s="1">
        <v>5</v>
      </c>
      <c r="M5" s="1">
        <f t="shared" si="2"/>
        <v>5</v>
      </c>
    </row>
    <row r="6" spans="1:21" x14ac:dyDescent="0.35">
      <c r="A6" s="39">
        <v>46054</v>
      </c>
      <c r="B6" s="40" t="s">
        <v>132</v>
      </c>
      <c r="C6" s="40" t="s">
        <v>119</v>
      </c>
      <c r="D6" s="40" t="s">
        <v>137</v>
      </c>
      <c r="E6" s="40">
        <v>83</v>
      </c>
      <c r="F6" s="40">
        <v>11</v>
      </c>
      <c r="G6" s="41">
        <f>IF(F6="","",VLOOKUP(F6,'Resumo Contrato Reajustado 2026'!$A$2:$S$43,18,0))</f>
        <v>1.0991687866482511</v>
      </c>
      <c r="H6" s="41">
        <f t="shared" si="0"/>
        <v>91.231009291804838</v>
      </c>
      <c r="I6" s="33"/>
      <c r="J6" s="1">
        <v>4</v>
      </c>
      <c r="K6" s="1">
        <f t="shared" si="1"/>
        <v>200</v>
      </c>
      <c r="L6" s="1">
        <v>200</v>
      </c>
      <c r="M6" s="1">
        <f t="shared" si="2"/>
        <v>0</v>
      </c>
    </row>
    <row r="7" spans="1:21" x14ac:dyDescent="0.35">
      <c r="A7" s="39">
        <v>46054</v>
      </c>
      <c r="B7" s="40" t="s">
        <v>132</v>
      </c>
      <c r="C7" s="40" t="s">
        <v>119</v>
      </c>
      <c r="D7" s="40" t="s">
        <v>138</v>
      </c>
      <c r="E7" s="40">
        <v>7779</v>
      </c>
      <c r="F7" s="40">
        <v>19</v>
      </c>
      <c r="G7" s="41">
        <f>IF(F7="","",VLOOKUP(F7,'Resumo Contrato Reajustado 2026'!$A$2:$S$43,18,0))</f>
        <v>9.7703892146511206E-2</v>
      </c>
      <c r="H7" s="41">
        <f t="shared" si="0"/>
        <v>760.03857700771073</v>
      </c>
      <c r="I7" s="45"/>
      <c r="J7" s="1">
        <v>5</v>
      </c>
      <c r="K7" s="1">
        <f t="shared" si="1"/>
        <v>166</v>
      </c>
      <c r="L7" s="1">
        <v>200</v>
      </c>
      <c r="M7" s="1">
        <f t="shared" si="2"/>
        <v>34</v>
      </c>
      <c r="U7" t="s">
        <v>117</v>
      </c>
    </row>
    <row r="8" spans="1:21" x14ac:dyDescent="0.35">
      <c r="A8" s="39">
        <v>46054</v>
      </c>
      <c r="B8" s="40" t="s">
        <v>132</v>
      </c>
      <c r="C8" s="40" t="s">
        <v>119</v>
      </c>
      <c r="D8" s="40" t="s">
        <v>139</v>
      </c>
      <c r="E8" s="40">
        <v>13</v>
      </c>
      <c r="F8" s="40">
        <v>19</v>
      </c>
      <c r="G8" s="41">
        <f>IF(F8="","",VLOOKUP(F8,'Resumo Contrato Reajustado 2026'!$A$2:$S$43,18,0))</f>
        <v>9.7703892146511206E-2</v>
      </c>
      <c r="H8" s="41">
        <f t="shared" si="0"/>
        <v>1.2701505979046457</v>
      </c>
      <c r="I8" s="45"/>
      <c r="J8" s="1">
        <v>6</v>
      </c>
      <c r="K8" s="1">
        <f t="shared" si="1"/>
        <v>0</v>
      </c>
      <c r="L8" s="1">
        <v>300</v>
      </c>
      <c r="M8" s="1">
        <f t="shared" si="2"/>
        <v>300</v>
      </c>
    </row>
    <row r="9" spans="1:21" x14ac:dyDescent="0.35">
      <c r="A9" s="39">
        <v>46054</v>
      </c>
      <c r="B9" s="40" t="s">
        <v>132</v>
      </c>
      <c r="C9" s="40" t="s">
        <v>119</v>
      </c>
      <c r="D9" s="40" t="s">
        <v>140</v>
      </c>
      <c r="E9" s="40">
        <v>39</v>
      </c>
      <c r="F9" s="40">
        <v>19</v>
      </c>
      <c r="G9" s="41">
        <f>IF(F9="","",VLOOKUP(F9,'Resumo Contrato Reajustado 2026'!$A$2:$S$43,18,0))</f>
        <v>9.7703892146511206E-2</v>
      </c>
      <c r="H9" s="41">
        <f t="shared" si="0"/>
        <v>3.8104517937139368</v>
      </c>
      <c r="I9" s="45"/>
      <c r="J9" s="1">
        <v>7</v>
      </c>
      <c r="K9" s="1">
        <f t="shared" si="1"/>
        <v>0</v>
      </c>
      <c r="L9" s="1">
        <v>100</v>
      </c>
      <c r="M9" s="1">
        <f t="shared" si="2"/>
        <v>100</v>
      </c>
    </row>
    <row r="10" spans="1:21" x14ac:dyDescent="0.35">
      <c r="A10" s="39">
        <v>46054</v>
      </c>
      <c r="B10" s="40" t="s">
        <v>132</v>
      </c>
      <c r="C10" s="40" t="s">
        <v>119</v>
      </c>
      <c r="D10" s="40" t="s">
        <v>141</v>
      </c>
      <c r="E10" s="40">
        <v>365</v>
      </c>
      <c r="F10" s="40">
        <v>20</v>
      </c>
      <c r="G10" s="41">
        <f>IF(F10="","",VLOOKUP(F10,'Resumo Contrato Reajustado 2026'!$A$2:$S$43,18,0))</f>
        <v>1.22129865183139</v>
      </c>
      <c r="H10" s="41">
        <f t="shared" si="0"/>
        <v>445.77400791845736</v>
      </c>
      <c r="I10" s="33"/>
      <c r="J10" s="1">
        <v>8</v>
      </c>
      <c r="K10" s="1">
        <f t="shared" si="1"/>
        <v>0</v>
      </c>
      <c r="L10" s="1">
        <v>5</v>
      </c>
      <c r="M10" s="1">
        <f t="shared" si="2"/>
        <v>5</v>
      </c>
    </row>
    <row r="11" spans="1:21" x14ac:dyDescent="0.35">
      <c r="A11" s="39">
        <v>46054</v>
      </c>
      <c r="B11" s="40" t="s">
        <v>132</v>
      </c>
      <c r="C11" s="40" t="s">
        <v>119</v>
      </c>
      <c r="D11" s="40" t="s">
        <v>142</v>
      </c>
      <c r="E11" s="40">
        <v>21533</v>
      </c>
      <c r="F11" s="40">
        <v>21</v>
      </c>
      <c r="G11" s="41">
        <f>IF(F11="","",VLOOKUP(F11,'Resumo Contrato Reajustado 2026'!$A$2:$S$43,18,0))</f>
        <v>0.3786025820677309</v>
      </c>
      <c r="H11" s="41">
        <f t="shared" si="0"/>
        <v>8152.4493996644496</v>
      </c>
      <c r="I11" s="46"/>
      <c r="J11" s="1">
        <v>9</v>
      </c>
      <c r="K11" s="1">
        <f t="shared" si="1"/>
        <v>0</v>
      </c>
      <c r="L11" s="1">
        <v>200</v>
      </c>
      <c r="M11" s="1">
        <f t="shared" si="2"/>
        <v>200</v>
      </c>
    </row>
    <row r="12" spans="1:21" x14ac:dyDescent="0.35">
      <c r="A12" s="39">
        <v>46054</v>
      </c>
      <c r="B12" s="40" t="s">
        <v>132</v>
      </c>
      <c r="C12" s="40" t="s">
        <v>119</v>
      </c>
      <c r="D12" s="40" t="s">
        <v>143</v>
      </c>
      <c r="E12" s="40">
        <v>4000</v>
      </c>
      <c r="F12" s="40">
        <v>21</v>
      </c>
      <c r="G12" s="41">
        <f>IF(F12="","",VLOOKUP(F12,'Resumo Contrato Reajustado 2026'!$A$2:$S$43,18,0))</f>
        <v>0.3786025820677309</v>
      </c>
      <c r="H12" s="41">
        <f t="shared" si="0"/>
        <v>1514.4103282709236</v>
      </c>
      <c r="I12" s="46"/>
      <c r="J12" s="1">
        <v>10</v>
      </c>
      <c r="K12" s="1">
        <f t="shared" si="1"/>
        <v>0</v>
      </c>
      <c r="L12" s="1">
        <v>200</v>
      </c>
      <c r="M12" s="1">
        <f t="shared" si="2"/>
        <v>200</v>
      </c>
    </row>
    <row r="13" spans="1:21" x14ac:dyDescent="0.35">
      <c r="A13" s="39">
        <v>46054</v>
      </c>
      <c r="B13" s="40" t="s">
        <v>132</v>
      </c>
      <c r="C13" s="40" t="s">
        <v>119</v>
      </c>
      <c r="D13" s="40" t="s">
        <v>144</v>
      </c>
      <c r="E13" s="40">
        <v>500</v>
      </c>
      <c r="F13" s="40">
        <v>22</v>
      </c>
      <c r="G13" s="41">
        <f>IF(F13="","",VLOOKUP(F13,'Resumo Contrato Reajustado 2026'!$A$2:$S$43,18,0))</f>
        <v>0.58622335287906713</v>
      </c>
      <c r="H13" s="41">
        <f t="shared" si="0"/>
        <v>293.11167643953354</v>
      </c>
      <c r="I13" s="33"/>
      <c r="J13" s="1">
        <v>11</v>
      </c>
      <c r="K13" s="1">
        <f t="shared" si="1"/>
        <v>83</v>
      </c>
      <c r="L13" s="1">
        <v>200</v>
      </c>
      <c r="M13" s="1">
        <f t="shared" si="2"/>
        <v>117</v>
      </c>
    </row>
    <row r="14" spans="1:21" x14ac:dyDescent="0.35">
      <c r="A14" s="39">
        <v>46054</v>
      </c>
      <c r="B14" s="40" t="s">
        <v>132</v>
      </c>
      <c r="C14" s="40" t="s">
        <v>119</v>
      </c>
      <c r="D14" s="40" t="s">
        <v>145</v>
      </c>
      <c r="E14" s="40">
        <v>64020</v>
      </c>
      <c r="F14" s="40">
        <v>23</v>
      </c>
      <c r="G14" s="41">
        <f>IF(F14="","",VLOOKUP(F14,'Resumo Contrato Reajustado 2026'!$A$2:$S$43,18,0))</f>
        <v>0.13434285170145291</v>
      </c>
      <c r="H14" s="41">
        <f t="shared" si="0"/>
        <v>8600.6293659270159</v>
      </c>
      <c r="I14" s="33"/>
      <c r="J14" s="1">
        <v>12</v>
      </c>
      <c r="K14" s="1">
        <f t="shared" si="1"/>
        <v>0</v>
      </c>
      <c r="L14" s="1">
        <v>100</v>
      </c>
      <c r="M14" s="1">
        <f t="shared" si="2"/>
        <v>100</v>
      </c>
    </row>
    <row r="15" spans="1:21" x14ac:dyDescent="0.35">
      <c r="A15" s="39">
        <v>46054</v>
      </c>
      <c r="B15" s="40" t="s">
        <v>132</v>
      </c>
      <c r="C15" s="40" t="s">
        <v>119</v>
      </c>
      <c r="D15" s="40" t="s">
        <v>146</v>
      </c>
      <c r="E15" s="40">
        <v>9770</v>
      </c>
      <c r="F15" s="40">
        <v>23</v>
      </c>
      <c r="G15" s="41">
        <f>IF(F15="","",VLOOKUP(F15,'Resumo Contrato Reajustado 2026'!$A$2:$S$43,18,0))</f>
        <v>0.13434285170145291</v>
      </c>
      <c r="H15" s="41">
        <f t="shared" si="0"/>
        <v>1312.529661123195</v>
      </c>
      <c r="I15" s="33"/>
      <c r="J15" s="1">
        <v>13</v>
      </c>
      <c r="K15" s="1">
        <f t="shared" si="1"/>
        <v>139</v>
      </c>
      <c r="L15" s="1">
        <v>200</v>
      </c>
      <c r="M15" s="1">
        <f t="shared" si="2"/>
        <v>61</v>
      </c>
    </row>
    <row r="16" spans="1:21" x14ac:dyDescent="0.35">
      <c r="A16" s="39">
        <v>46054</v>
      </c>
      <c r="B16" s="40" t="s">
        <v>132</v>
      </c>
      <c r="C16" s="40" t="s">
        <v>119</v>
      </c>
      <c r="D16" s="40" t="s">
        <v>147</v>
      </c>
      <c r="E16" s="40">
        <v>236</v>
      </c>
      <c r="F16" s="40">
        <v>30</v>
      </c>
      <c r="G16" s="41">
        <f>IF(F16="","",VLOOKUP(F16,'Resumo Contrato Reajustado 2026'!$A$2:$S$43,18,0))</f>
        <v>3.22422844083487</v>
      </c>
      <c r="H16" s="41">
        <f t="shared" si="0"/>
        <v>760.91791203702928</v>
      </c>
      <c r="I16" s="33"/>
      <c r="J16" s="1">
        <v>14</v>
      </c>
      <c r="K16" s="1">
        <f t="shared" si="1"/>
        <v>139</v>
      </c>
      <c r="L16" s="1">
        <v>200</v>
      </c>
      <c r="M16" s="1">
        <f t="shared" si="2"/>
        <v>61</v>
      </c>
      <c r="P16" s="25"/>
    </row>
    <row r="17" spans="1:15" x14ac:dyDescent="0.35">
      <c r="A17" s="39">
        <v>46054</v>
      </c>
      <c r="B17" s="40" t="s">
        <v>132</v>
      </c>
      <c r="C17" s="40" t="s">
        <v>119</v>
      </c>
      <c r="D17" s="40" t="s">
        <v>148</v>
      </c>
      <c r="E17" s="40">
        <v>207</v>
      </c>
      <c r="F17" s="40">
        <v>31</v>
      </c>
      <c r="G17" s="41">
        <f>IF(F17="","",VLOOKUP(F17,'Resumo Contrato Reajustado 2026'!$A$2:$S$43,18,0))</f>
        <v>3.6638959554941697</v>
      </c>
      <c r="H17" s="41">
        <f t="shared" si="0"/>
        <v>758.42646278729308</v>
      </c>
      <c r="I17" s="33"/>
      <c r="J17" s="1">
        <v>15</v>
      </c>
      <c r="K17" s="1">
        <f t="shared" si="1"/>
        <v>243</v>
      </c>
      <c r="L17" s="1">
        <v>300</v>
      </c>
      <c r="M17" s="1">
        <f t="shared" si="2"/>
        <v>57</v>
      </c>
    </row>
    <row r="18" spans="1:15" x14ac:dyDescent="0.35">
      <c r="A18" s="39">
        <v>46054</v>
      </c>
      <c r="B18" s="40" t="s">
        <v>132</v>
      </c>
      <c r="C18" s="40" t="s">
        <v>119</v>
      </c>
      <c r="D18" s="40" t="s">
        <v>149</v>
      </c>
      <c r="E18" s="40">
        <v>240</v>
      </c>
      <c r="F18" s="40">
        <v>32</v>
      </c>
      <c r="G18" s="41">
        <f>IF(F18="","",VLOOKUP(F18,'Resumo Contrato Reajustado 2026'!$A$2:$S$43,18,0))</f>
        <v>3.6638959554941697</v>
      </c>
      <c r="H18" s="41">
        <f t="shared" si="0"/>
        <v>879.33502931860073</v>
      </c>
      <c r="I18" s="33"/>
      <c r="J18" s="1">
        <v>16</v>
      </c>
      <c r="K18" s="1">
        <f t="shared" si="1"/>
        <v>0</v>
      </c>
      <c r="L18" s="1">
        <v>200</v>
      </c>
      <c r="M18" s="1">
        <f t="shared" si="2"/>
        <v>200</v>
      </c>
    </row>
    <row r="19" spans="1:15" x14ac:dyDescent="0.35">
      <c r="A19" s="39">
        <v>46054</v>
      </c>
      <c r="B19" s="40" t="s">
        <v>132</v>
      </c>
      <c r="C19" s="40" t="s">
        <v>119</v>
      </c>
      <c r="D19" s="40" t="s">
        <v>150</v>
      </c>
      <c r="E19" s="40">
        <v>112</v>
      </c>
      <c r="F19" s="40">
        <v>34</v>
      </c>
      <c r="G19" s="41">
        <f>IF(F19="","",VLOOKUP(F19,'Resumo Contrato Reajustado 2026'!$A$2:$S$43,18,0))</f>
        <v>2.8578388452854524</v>
      </c>
      <c r="H19" s="41">
        <f t="shared" si="0"/>
        <v>320.07795067197065</v>
      </c>
      <c r="I19" s="33"/>
      <c r="J19" s="1">
        <v>17</v>
      </c>
      <c r="K19" s="1">
        <f t="shared" si="1"/>
        <v>74</v>
      </c>
      <c r="L19" s="1">
        <v>200</v>
      </c>
      <c r="M19" s="1">
        <f t="shared" si="2"/>
        <v>126</v>
      </c>
      <c r="O19" s="25"/>
    </row>
    <row r="20" spans="1:15" x14ac:dyDescent="0.35">
      <c r="A20" s="39">
        <v>46054</v>
      </c>
      <c r="B20" s="40" t="s">
        <v>132</v>
      </c>
      <c r="C20" s="40" t="s">
        <v>119</v>
      </c>
      <c r="D20" s="40" t="s">
        <v>151</v>
      </c>
      <c r="E20" s="40">
        <v>145</v>
      </c>
      <c r="F20" s="40">
        <v>35</v>
      </c>
      <c r="G20" s="41">
        <f>IF(F20="","",VLOOKUP(F20,'Resumo Contrato Reajustado 2026'!$A$2:$S$43,18,0))</f>
        <v>3.0410336430601617</v>
      </c>
      <c r="H20" s="41">
        <f t="shared" si="0"/>
        <v>440.94987824372345</v>
      </c>
      <c r="I20" s="33"/>
      <c r="J20" s="1">
        <v>18</v>
      </c>
      <c r="K20" s="1">
        <f t="shared" si="1"/>
        <v>0</v>
      </c>
      <c r="L20" s="1">
        <v>500</v>
      </c>
      <c r="M20" s="1">
        <f t="shared" si="2"/>
        <v>500</v>
      </c>
    </row>
    <row r="21" spans="1:15" x14ac:dyDescent="0.35">
      <c r="A21" s="39">
        <v>46054</v>
      </c>
      <c r="B21" s="40" t="s">
        <v>132</v>
      </c>
      <c r="C21" s="40" t="s">
        <v>119</v>
      </c>
      <c r="D21" s="40" t="s">
        <v>152</v>
      </c>
      <c r="E21" s="40">
        <v>2250</v>
      </c>
      <c r="F21" s="40">
        <v>36</v>
      </c>
      <c r="G21" s="41">
        <f>IF(F21="","",VLOOKUP(F21,'Resumo Contrato Reajustado 2026'!$A$2:$S$43,18,0))</f>
        <v>0.48851946073255598</v>
      </c>
      <c r="H21" s="41">
        <f t="shared" si="0"/>
        <v>1099.1687866482509</v>
      </c>
      <c r="I21" s="33"/>
      <c r="J21" s="1">
        <v>19</v>
      </c>
      <c r="K21" s="1">
        <f t="shared" si="1"/>
        <v>7831</v>
      </c>
      <c r="L21" s="1">
        <v>80000</v>
      </c>
      <c r="M21" s="1">
        <f t="shared" si="2"/>
        <v>72169</v>
      </c>
    </row>
    <row r="22" spans="1:15" x14ac:dyDescent="0.35">
      <c r="A22" s="39">
        <v>46054</v>
      </c>
      <c r="B22" s="40" t="s">
        <v>132</v>
      </c>
      <c r="C22" s="40" t="s">
        <v>119</v>
      </c>
      <c r="D22" s="40" t="s">
        <v>153</v>
      </c>
      <c r="E22" s="40">
        <v>223</v>
      </c>
      <c r="F22" s="40">
        <v>37</v>
      </c>
      <c r="G22" s="41">
        <f>IF(F22="","",VLOOKUP(F22,'Resumo Contrato Reajustado 2026'!$A$2:$S$43,18,0))</f>
        <v>0.46409348769592823</v>
      </c>
      <c r="H22" s="41">
        <f t="shared" si="0"/>
        <v>103.49284775619199</v>
      </c>
      <c r="I22" s="33"/>
      <c r="J22" s="1">
        <v>20</v>
      </c>
      <c r="K22" s="1">
        <f t="shared" si="1"/>
        <v>365</v>
      </c>
      <c r="L22" s="1">
        <v>500</v>
      </c>
      <c r="M22" s="1">
        <f t="shared" si="2"/>
        <v>135</v>
      </c>
    </row>
    <row r="23" spans="1:15" x14ac:dyDescent="0.35">
      <c r="A23" s="39">
        <v>46054</v>
      </c>
      <c r="B23" s="40" t="s">
        <v>132</v>
      </c>
      <c r="C23" s="40" t="s">
        <v>119</v>
      </c>
      <c r="D23" s="40" t="s">
        <v>154</v>
      </c>
      <c r="E23" s="40">
        <v>296</v>
      </c>
      <c r="F23" s="40">
        <v>38</v>
      </c>
      <c r="G23" s="41">
        <f>IF(F23="","",VLOOKUP(F23,'Resumo Contrato Reajustado 2026'!$A$2:$S$43,18,0))</f>
        <v>0.21983375732965019</v>
      </c>
      <c r="H23" s="41">
        <f t="shared" si="0"/>
        <v>65.07079216957645</v>
      </c>
      <c r="I23" s="33"/>
      <c r="J23" s="1">
        <v>21</v>
      </c>
      <c r="K23" s="1">
        <f t="shared" si="1"/>
        <v>48449</v>
      </c>
      <c r="L23" s="1">
        <v>50000</v>
      </c>
      <c r="M23" s="1">
        <f t="shared" si="2"/>
        <v>1551</v>
      </c>
    </row>
    <row r="24" spans="1:15" x14ac:dyDescent="0.35">
      <c r="A24" s="39">
        <v>46054</v>
      </c>
      <c r="B24" s="40" t="s">
        <v>132</v>
      </c>
      <c r="C24" s="40" t="s">
        <v>119</v>
      </c>
      <c r="D24" s="40" t="s">
        <v>155</v>
      </c>
      <c r="E24" s="40">
        <v>18</v>
      </c>
      <c r="F24" s="40">
        <v>39</v>
      </c>
      <c r="G24" s="41">
        <f>IF(F24="","",VLOOKUP(F24,'Resumo Contrato Reajustado 2026'!$A$2:$S$43,18,0))</f>
        <v>18.319479777470853</v>
      </c>
      <c r="H24" s="41">
        <f t="shared" si="0"/>
        <v>329.75063599447537</v>
      </c>
      <c r="I24" s="47"/>
      <c r="J24" s="1">
        <v>22</v>
      </c>
      <c r="K24" s="1">
        <f t="shared" si="1"/>
        <v>500</v>
      </c>
      <c r="L24" s="1">
        <v>500</v>
      </c>
      <c r="M24" s="1">
        <f t="shared" si="2"/>
        <v>0</v>
      </c>
    </row>
    <row r="25" spans="1:15" x14ac:dyDescent="0.35">
      <c r="A25" s="39">
        <v>46054</v>
      </c>
      <c r="B25" s="40" t="s">
        <v>132</v>
      </c>
      <c r="C25" s="40" t="s">
        <v>119</v>
      </c>
      <c r="D25" s="40" t="s">
        <v>156</v>
      </c>
      <c r="E25" s="40">
        <v>13</v>
      </c>
      <c r="F25" s="40">
        <v>40</v>
      </c>
      <c r="G25" s="41">
        <f>IF(F25="","",VLOOKUP(F25,'Resumo Contrato Reajustado 2026'!$A$2:$S$43,18,0))</f>
        <v>17.403505788597307</v>
      </c>
      <c r="H25" s="41">
        <f t="shared" si="0"/>
        <v>226.24557525176499</v>
      </c>
      <c r="I25" s="33"/>
      <c r="J25" s="1">
        <v>23</v>
      </c>
      <c r="K25" s="1">
        <f t="shared" si="1"/>
        <v>73790</v>
      </c>
      <c r="L25" s="1">
        <v>80000</v>
      </c>
      <c r="M25" s="1">
        <f t="shared" si="2"/>
        <v>6210</v>
      </c>
    </row>
    <row r="26" spans="1:15" x14ac:dyDescent="0.35">
      <c r="A26" s="39">
        <v>46054</v>
      </c>
      <c r="B26" s="40" t="s">
        <v>132</v>
      </c>
      <c r="C26" s="40" t="s">
        <v>119</v>
      </c>
      <c r="D26" s="40" t="s">
        <v>157</v>
      </c>
      <c r="E26" s="40">
        <v>27</v>
      </c>
      <c r="F26" s="40">
        <v>41</v>
      </c>
      <c r="G26" s="41">
        <f>IF(F26="","",VLOOKUP(F26,'Resumo Contrato Reajustado 2026'!$A$2:$S$43,18,0))</f>
        <v>9.6238333764313531</v>
      </c>
      <c r="H26" s="41">
        <f t="shared" si="0"/>
        <v>259.84350116364652</v>
      </c>
      <c r="I26" s="33"/>
      <c r="J26" s="1">
        <v>24</v>
      </c>
      <c r="K26" s="1">
        <f t="shared" si="1"/>
        <v>0</v>
      </c>
      <c r="L26" s="1">
        <v>500</v>
      </c>
      <c r="M26" s="1">
        <f t="shared" si="2"/>
        <v>500</v>
      </c>
    </row>
    <row r="27" spans="1:15" x14ac:dyDescent="0.35">
      <c r="A27" s="42">
        <v>46054</v>
      </c>
      <c r="B27" s="43" t="s">
        <v>158</v>
      </c>
      <c r="C27" s="43" t="s">
        <v>115</v>
      </c>
      <c r="D27" s="43" t="s">
        <v>159</v>
      </c>
      <c r="E27" s="43">
        <v>2714</v>
      </c>
      <c r="F27" s="43">
        <v>25</v>
      </c>
      <c r="G27" s="44">
        <f>IF(F27="","",VLOOKUP(F27,'Resumo Contrato Reajustado 2026'!$A$2:$S$43,18,0))</f>
        <v>0.854909056281973</v>
      </c>
      <c r="H27" s="44">
        <f t="shared" si="0"/>
        <v>2320.2231787492747</v>
      </c>
      <c r="I27" s="33"/>
      <c r="J27" s="1">
        <v>25</v>
      </c>
      <c r="K27" s="1">
        <f t="shared" si="1"/>
        <v>49995</v>
      </c>
      <c r="L27" s="1">
        <v>50000</v>
      </c>
      <c r="M27" s="1">
        <f t="shared" si="2"/>
        <v>5</v>
      </c>
    </row>
    <row r="28" spans="1:15" x14ac:dyDescent="0.35">
      <c r="A28" s="42">
        <v>46054</v>
      </c>
      <c r="B28" s="43" t="s">
        <v>158</v>
      </c>
      <c r="C28" s="43" t="s">
        <v>115</v>
      </c>
      <c r="D28" s="43" t="s">
        <v>160</v>
      </c>
      <c r="E28" s="43">
        <v>2375</v>
      </c>
      <c r="F28" s="43">
        <v>36</v>
      </c>
      <c r="G28" s="44">
        <f>IF(F28="","",VLOOKUP(F28,'Resumo Contrato Reajustado 2026'!$A$2:$S$43,18,0))</f>
        <v>0.48851946073255598</v>
      </c>
      <c r="H28" s="44">
        <f t="shared" si="0"/>
        <v>1160.2337192398204</v>
      </c>
      <c r="I28" s="33"/>
      <c r="J28" s="1">
        <v>26</v>
      </c>
      <c r="K28" s="1">
        <f t="shared" si="1"/>
        <v>0</v>
      </c>
      <c r="L28" s="1">
        <v>300</v>
      </c>
      <c r="M28" s="1">
        <f t="shared" si="2"/>
        <v>300</v>
      </c>
    </row>
    <row r="29" spans="1:15" x14ac:dyDescent="0.35">
      <c r="A29" s="39">
        <v>46054</v>
      </c>
      <c r="B29" s="40" t="s">
        <v>161</v>
      </c>
      <c r="C29" s="40" t="s">
        <v>162</v>
      </c>
      <c r="D29" s="40" t="s">
        <v>163</v>
      </c>
      <c r="E29" s="40">
        <v>5381</v>
      </c>
      <c r="F29" s="40">
        <v>25</v>
      </c>
      <c r="G29" s="41">
        <f>IF(F29="","",VLOOKUP(F29,'Resumo Contrato Reajustado 2026'!$A$2:$S$43,18,0))</f>
        <v>0.854909056281973</v>
      </c>
      <c r="H29" s="41">
        <f t="shared" si="0"/>
        <v>4600.2656318532963</v>
      </c>
      <c r="I29" s="33"/>
      <c r="J29" s="1">
        <v>27</v>
      </c>
      <c r="K29" s="1">
        <f t="shared" si="1"/>
        <v>0</v>
      </c>
      <c r="L29" s="1">
        <v>300</v>
      </c>
      <c r="M29" s="1">
        <f t="shared" si="2"/>
        <v>300</v>
      </c>
    </row>
    <row r="30" spans="1:15" x14ac:dyDescent="0.35">
      <c r="A30" s="42">
        <v>46054</v>
      </c>
      <c r="B30" s="43" t="s">
        <v>164</v>
      </c>
      <c r="C30" s="43" t="s">
        <v>101</v>
      </c>
      <c r="D30" s="43" t="s">
        <v>165</v>
      </c>
      <c r="E30" s="43">
        <v>139</v>
      </c>
      <c r="F30" s="43">
        <v>13</v>
      </c>
      <c r="G30" s="44">
        <f>IF(F30="","",VLOOKUP(F30,'Resumo Contrato Reajustado 2026'!$A$2:$S$43,18,0))</f>
        <v>1.3190025439779012</v>
      </c>
      <c r="H30" s="44">
        <f t="shared" si="0"/>
        <v>183.34135361292826</v>
      </c>
      <c r="I30" s="33"/>
      <c r="J30" s="1">
        <v>28</v>
      </c>
      <c r="K30" s="1">
        <f t="shared" si="1"/>
        <v>0</v>
      </c>
      <c r="L30" s="1">
        <v>300</v>
      </c>
      <c r="M30" s="1">
        <f t="shared" si="2"/>
        <v>300</v>
      </c>
    </row>
    <row r="31" spans="1:15" x14ac:dyDescent="0.35">
      <c r="A31" s="42">
        <v>46054</v>
      </c>
      <c r="B31" s="43" t="s">
        <v>164</v>
      </c>
      <c r="C31" s="43" t="s">
        <v>101</v>
      </c>
      <c r="D31" s="43" t="s">
        <v>166</v>
      </c>
      <c r="E31" s="43">
        <v>139</v>
      </c>
      <c r="F31" s="43">
        <v>14</v>
      </c>
      <c r="G31" s="44">
        <f>IF(F31="","",VLOOKUP(F31,'Resumo Contrato Reajustado 2026'!$A$2:$S$43,18,0))</f>
        <v>1.3190025439779012</v>
      </c>
      <c r="H31" s="44">
        <f t="shared" si="0"/>
        <v>183.34135361292826</v>
      </c>
      <c r="I31" s="33"/>
      <c r="J31" s="1">
        <v>29</v>
      </c>
      <c r="K31" s="1">
        <f t="shared" si="1"/>
        <v>0</v>
      </c>
      <c r="L31" s="1">
        <v>300</v>
      </c>
      <c r="M31" s="1">
        <f t="shared" si="2"/>
        <v>300</v>
      </c>
    </row>
    <row r="32" spans="1:15" ht="15" customHeight="1" x14ac:dyDescent="0.35">
      <c r="A32" s="42">
        <v>46054</v>
      </c>
      <c r="B32" s="43" t="s">
        <v>164</v>
      </c>
      <c r="C32" s="43" t="s">
        <v>101</v>
      </c>
      <c r="D32" s="43" t="s">
        <v>167</v>
      </c>
      <c r="E32" s="43">
        <v>74</v>
      </c>
      <c r="F32" s="43">
        <v>17</v>
      </c>
      <c r="G32" s="44">
        <f>IF(F32="","",VLOOKUP(F32,'Resumo Contrato Reajustado 2026'!$A$2:$S$43,18,0))</f>
        <v>19.052258968569685</v>
      </c>
      <c r="H32" s="44">
        <f t="shared" si="0"/>
        <v>1409.8671636741567</v>
      </c>
      <c r="I32" s="47"/>
      <c r="J32" s="1">
        <v>30</v>
      </c>
      <c r="K32" s="1">
        <f t="shared" si="1"/>
        <v>236</v>
      </c>
      <c r="L32" s="1">
        <v>300</v>
      </c>
      <c r="M32" s="1">
        <f t="shared" si="2"/>
        <v>64</v>
      </c>
    </row>
    <row r="33" spans="1:18" ht="15" customHeight="1" x14ac:dyDescent="0.35">
      <c r="A33" s="39">
        <v>46054</v>
      </c>
      <c r="B33" s="40" t="s">
        <v>168</v>
      </c>
      <c r="C33" s="40" t="s">
        <v>101</v>
      </c>
      <c r="D33" s="40" t="s">
        <v>169</v>
      </c>
      <c r="E33" s="40">
        <v>2916</v>
      </c>
      <c r="F33" s="40">
        <v>21</v>
      </c>
      <c r="G33" s="41">
        <f>IF(F33="","",VLOOKUP(F33,'Resumo Contrato Reajustado 2026'!$A$2:$S$43,18,0))</f>
        <v>0.3786025820677309</v>
      </c>
      <c r="H33" s="41">
        <f t="shared" si="0"/>
        <v>1104.0051293095032</v>
      </c>
      <c r="I33" s="46"/>
      <c r="J33" s="1">
        <v>31</v>
      </c>
      <c r="K33" s="1">
        <f t="shared" si="1"/>
        <v>207</v>
      </c>
      <c r="L33" s="1">
        <v>300</v>
      </c>
      <c r="M33" s="1">
        <f t="shared" si="2"/>
        <v>93</v>
      </c>
    </row>
    <row r="34" spans="1:18" ht="15" customHeight="1" x14ac:dyDescent="0.35">
      <c r="A34" s="42">
        <v>46054</v>
      </c>
      <c r="B34" s="43" t="s">
        <v>170</v>
      </c>
      <c r="C34" s="43" t="s">
        <v>171</v>
      </c>
      <c r="D34" s="43" t="s">
        <v>172</v>
      </c>
      <c r="E34" s="43">
        <v>41900</v>
      </c>
      <c r="F34" s="43">
        <v>25</v>
      </c>
      <c r="G34" s="44">
        <f>IF(F34="","",VLOOKUP(F34,'Resumo Contrato Reajustado 2026'!$A$2:$S$43,18,0))</f>
        <v>0.854909056281973</v>
      </c>
      <c r="H34" s="44">
        <f t="shared" si="0"/>
        <v>35820.689458214671</v>
      </c>
      <c r="J34" s="1">
        <v>32</v>
      </c>
      <c r="K34" s="1">
        <f t="shared" si="1"/>
        <v>240</v>
      </c>
      <c r="L34" s="1">
        <v>300</v>
      </c>
      <c r="M34" s="1">
        <f t="shared" si="2"/>
        <v>60</v>
      </c>
      <c r="R34">
        <f>P34-Q34</f>
        <v>0</v>
      </c>
    </row>
    <row r="35" spans="1:18" ht="15" customHeight="1" x14ac:dyDescent="0.35">
      <c r="A35" s="42">
        <v>46054</v>
      </c>
      <c r="B35" s="43" t="s">
        <v>170</v>
      </c>
      <c r="C35" s="43" t="s">
        <v>171</v>
      </c>
      <c r="D35" s="43" t="s">
        <v>172</v>
      </c>
      <c r="E35" s="43">
        <v>20000</v>
      </c>
      <c r="F35" s="43">
        <v>21</v>
      </c>
      <c r="G35" s="44">
        <f>IF(F35="","",VLOOKUP(F35,'Resumo Contrato Reajustado 2026'!$A$2:$S$43,18,0))</f>
        <v>0.3786025820677309</v>
      </c>
      <c r="H35" s="44">
        <f t="shared" si="0"/>
        <v>7572.0516413546184</v>
      </c>
      <c r="J35" s="1">
        <v>33</v>
      </c>
      <c r="K35" s="1">
        <f t="shared" si="1"/>
        <v>0</v>
      </c>
      <c r="L35" s="1">
        <v>200</v>
      </c>
      <c r="M35" s="1">
        <f t="shared" si="2"/>
        <v>200</v>
      </c>
    </row>
    <row r="36" spans="1:18" ht="15" customHeight="1" x14ac:dyDescent="0.35">
      <c r="A36" s="1"/>
      <c r="B36" s="1"/>
      <c r="C36" s="1"/>
      <c r="D36" s="1"/>
      <c r="E36" s="1"/>
      <c r="F36" s="1"/>
      <c r="G36" s="3"/>
      <c r="H36" s="3"/>
      <c r="J36" s="1">
        <v>34</v>
      </c>
      <c r="K36" s="1">
        <f t="shared" si="1"/>
        <v>112</v>
      </c>
      <c r="L36" s="1">
        <v>200</v>
      </c>
      <c r="M36" s="1">
        <f t="shared" si="2"/>
        <v>88</v>
      </c>
      <c r="R36">
        <f>P36-Q36</f>
        <v>0</v>
      </c>
    </row>
    <row r="37" spans="1:18" x14ac:dyDescent="0.35">
      <c r="A37" s="1"/>
      <c r="B37" s="1"/>
      <c r="C37" s="1"/>
      <c r="D37" s="1"/>
      <c r="E37" s="1"/>
      <c r="F37" s="1"/>
      <c r="G37" s="3"/>
      <c r="H37" s="3"/>
      <c r="J37" s="1">
        <v>35</v>
      </c>
      <c r="K37" s="1">
        <f t="shared" si="1"/>
        <v>145</v>
      </c>
      <c r="L37" s="1">
        <v>200</v>
      </c>
      <c r="M37" s="1">
        <f t="shared" si="2"/>
        <v>55</v>
      </c>
      <c r="R37">
        <f>P37-Q37</f>
        <v>0</v>
      </c>
    </row>
    <row r="38" spans="1:18" x14ac:dyDescent="0.35">
      <c r="A38" s="1"/>
      <c r="B38" s="1"/>
      <c r="C38" s="1"/>
      <c r="D38" s="1"/>
      <c r="E38" s="1"/>
      <c r="F38" s="1"/>
      <c r="G38" s="3"/>
      <c r="H38" s="3"/>
      <c r="J38" s="1">
        <v>36</v>
      </c>
      <c r="K38" s="1">
        <f t="shared" si="1"/>
        <v>4625</v>
      </c>
      <c r="L38" s="1">
        <v>5000</v>
      </c>
      <c r="M38" s="1">
        <f t="shared" si="2"/>
        <v>375</v>
      </c>
      <c r="R38">
        <f>P38-Q38</f>
        <v>0</v>
      </c>
    </row>
    <row r="39" spans="1:18" x14ac:dyDescent="0.35">
      <c r="A39" s="1"/>
      <c r="B39" s="1"/>
      <c r="C39" s="1"/>
      <c r="D39" s="1"/>
      <c r="E39" s="1"/>
      <c r="F39" s="1"/>
      <c r="G39" s="3"/>
      <c r="H39" s="3"/>
      <c r="J39" s="1">
        <v>37</v>
      </c>
      <c r="K39" s="1">
        <f t="shared" si="1"/>
        <v>223</v>
      </c>
      <c r="L39" s="1">
        <v>300</v>
      </c>
      <c r="M39" s="1">
        <f t="shared" si="2"/>
        <v>77</v>
      </c>
    </row>
    <row r="40" spans="1:18" x14ac:dyDescent="0.35">
      <c r="A40" s="1"/>
      <c r="B40" s="1"/>
      <c r="C40" s="1"/>
      <c r="D40" s="1"/>
      <c r="E40" s="1"/>
      <c r="F40" s="1"/>
      <c r="G40" s="3"/>
      <c r="H40" s="3"/>
      <c r="J40" s="1">
        <v>38</v>
      </c>
      <c r="K40" s="1">
        <f t="shared" si="1"/>
        <v>296</v>
      </c>
      <c r="L40" s="1">
        <v>300</v>
      </c>
      <c r="M40" s="1">
        <f t="shared" si="2"/>
        <v>4</v>
      </c>
    </row>
    <row r="41" spans="1:18" x14ac:dyDescent="0.35">
      <c r="A41" s="1"/>
      <c r="B41" s="1"/>
      <c r="C41" s="1"/>
      <c r="D41" s="1"/>
      <c r="E41" s="1"/>
      <c r="F41" s="1"/>
      <c r="G41" s="3"/>
      <c r="H41" s="3"/>
      <c r="J41" s="1">
        <v>39</v>
      </c>
      <c r="K41" s="1">
        <f t="shared" si="1"/>
        <v>18</v>
      </c>
      <c r="L41" s="1">
        <v>30</v>
      </c>
      <c r="M41" s="1">
        <f t="shared" si="2"/>
        <v>12</v>
      </c>
    </row>
    <row r="42" spans="1:18" x14ac:dyDescent="0.35">
      <c r="A42" s="1"/>
      <c r="B42" s="1"/>
      <c r="C42" s="1"/>
      <c r="D42" s="1"/>
      <c r="E42" s="1"/>
      <c r="F42" s="1"/>
      <c r="G42" s="3"/>
      <c r="H42" s="3"/>
      <c r="J42" s="1">
        <v>40</v>
      </c>
      <c r="K42" s="1">
        <f t="shared" si="1"/>
        <v>13</v>
      </c>
      <c r="L42" s="1">
        <v>30</v>
      </c>
      <c r="M42" s="1">
        <f t="shared" si="2"/>
        <v>17</v>
      </c>
    </row>
    <row r="43" spans="1:18" x14ac:dyDescent="0.35">
      <c r="A43" s="1"/>
      <c r="B43" s="1" t="s">
        <v>173</v>
      </c>
      <c r="C43" s="1"/>
      <c r="D43" s="1" t="s">
        <v>174</v>
      </c>
      <c r="E43" s="1"/>
      <c r="F43" s="1"/>
      <c r="G43" s="3" t="str">
        <f>IF(F43="","",VLOOKUP(F43,'Resumo Contrato Reajustado 2026'!$A$2:$S$43,18,0))</f>
        <v/>
      </c>
      <c r="H43" s="3" t="str">
        <f>IF(F43="","",E43*G43)</f>
        <v/>
      </c>
      <c r="J43" s="1">
        <v>41</v>
      </c>
      <c r="K43" s="1">
        <f t="shared" si="1"/>
        <v>27</v>
      </c>
      <c r="L43" s="1">
        <v>30</v>
      </c>
      <c r="M43" s="1">
        <f t="shared" si="2"/>
        <v>3</v>
      </c>
    </row>
    <row r="44" spans="1:18" x14ac:dyDescent="0.35">
      <c r="A44" s="1"/>
      <c r="B44" s="1" t="s">
        <v>173</v>
      </c>
      <c r="C44" s="1"/>
      <c r="D44" s="1" t="s">
        <v>175</v>
      </c>
      <c r="E44" s="1"/>
      <c r="F44" s="1"/>
      <c r="G44" s="3" t="str">
        <f>IF(F44="","",VLOOKUP(F44,'Resumo Contrato Reajustado 2026'!$A$2:$S$43,18,0))</f>
        <v/>
      </c>
      <c r="H44" s="3" t="str">
        <f>IF(F44="","",E44*G44)</f>
        <v/>
      </c>
      <c r="J44" s="1">
        <v>42</v>
      </c>
      <c r="K44" s="1">
        <f t="shared" si="1"/>
        <v>0</v>
      </c>
      <c r="L44" s="1">
        <v>30</v>
      </c>
      <c r="M44" s="1">
        <f t="shared" si="2"/>
        <v>30</v>
      </c>
    </row>
    <row r="45" spans="1:18" x14ac:dyDescent="0.35">
      <c r="A45" s="1"/>
      <c r="B45" s="1"/>
      <c r="C45" s="1"/>
      <c r="D45" s="1"/>
      <c r="E45" s="1"/>
      <c r="F45" s="1"/>
      <c r="G45" s="3"/>
      <c r="H45" s="3"/>
    </row>
    <row r="46" spans="1:18" x14ac:dyDescent="0.35">
      <c r="A46" s="1"/>
      <c r="B46" s="1"/>
      <c r="C46" s="1"/>
      <c r="D46" s="1"/>
      <c r="E46" s="1"/>
      <c r="F46" s="1"/>
      <c r="G46" s="3"/>
      <c r="H46" s="3"/>
    </row>
    <row r="47" spans="1:18" x14ac:dyDescent="0.35">
      <c r="A47" s="1"/>
      <c r="B47" s="1"/>
      <c r="C47" s="1"/>
      <c r="D47" s="1"/>
      <c r="E47" s="1"/>
      <c r="F47" s="1"/>
      <c r="G47" s="3"/>
      <c r="H47" s="3"/>
    </row>
    <row r="48" spans="1:18" x14ac:dyDescent="0.35">
      <c r="A48" s="1"/>
      <c r="B48" s="1"/>
      <c r="C48" s="1"/>
      <c r="D48" s="1"/>
      <c r="E48" s="1"/>
      <c r="F48" s="1"/>
      <c r="G48" s="3"/>
      <c r="H48" s="3"/>
    </row>
    <row r="49" spans="1:9" x14ac:dyDescent="0.35">
      <c r="A49" s="1"/>
      <c r="B49" s="1"/>
      <c r="C49" s="1"/>
      <c r="D49" s="1"/>
      <c r="E49" s="1"/>
      <c r="F49" s="1"/>
      <c r="G49" s="3"/>
      <c r="H49" s="3"/>
    </row>
    <row r="50" spans="1:9" x14ac:dyDescent="0.35">
      <c r="A50" s="1"/>
      <c r="B50" s="1"/>
      <c r="C50" s="1"/>
      <c r="D50" s="1"/>
      <c r="E50" s="1"/>
      <c r="F50" s="1"/>
      <c r="G50" s="3"/>
      <c r="H50" s="3"/>
      <c r="I50" s="16">
        <f>SUM(I2:I48)</f>
        <v>0</v>
      </c>
    </row>
  </sheetData>
  <sortState xmlns:xlrd2="http://schemas.microsoft.com/office/spreadsheetml/2017/richdata2" ref="A3:M44">
    <sortCondition ref="F2:F44"/>
  </sortState>
  <mergeCells count="1">
    <mergeCell ref="J1:M1"/>
  </mergeCells>
  <conditionalFormatting sqref="K3:K44">
    <cfRule type="cellIs" dxfId="9" priority="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3017AD-B7A5-45DE-8F2C-43E652DB7C9F}">
          <x14:formula1>
            <xm:f>'Resumo Contrato Reajustado 2026'!$A$47:$A$89</xm:f>
          </x14:formula1>
          <xm:sqref>F2:F16 F18:F24 F26:F50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7BE19-39A1-41F0-A520-FD106EC12455}">
  <dimension ref="A1:U116"/>
  <sheetViews>
    <sheetView topLeftCell="A75" workbookViewId="0">
      <selection activeCell="C80" sqref="C80"/>
    </sheetView>
  </sheetViews>
  <sheetFormatPr defaultRowHeight="14.5" x14ac:dyDescent="0.35"/>
  <cols>
    <col min="1" max="1" width="10.7265625" bestFit="1" customWidth="1"/>
    <col min="2" max="2" width="18.81640625" bestFit="1" customWidth="1"/>
    <col min="3" max="3" width="27.81640625" bestFit="1" customWidth="1"/>
    <col min="4" max="4" width="78.1796875" bestFit="1" customWidth="1"/>
    <col min="5" max="5" width="13.1796875" bestFit="1" customWidth="1"/>
    <col min="6" max="6" width="7.1796875" bestFit="1" customWidth="1"/>
    <col min="7" max="7" width="15.453125" bestFit="1" customWidth="1"/>
    <col min="8" max="8" width="17.54296875" bestFit="1" customWidth="1"/>
    <col min="9" max="9" width="10" bestFit="1" customWidth="1"/>
    <col min="10" max="10" width="10.7265625" bestFit="1" customWidth="1"/>
    <col min="11" max="11" width="22.81640625" bestFit="1" customWidth="1"/>
    <col min="12" max="12" width="20.26953125" bestFit="1" customWidth="1"/>
    <col min="13" max="13" width="8.26953125" bestFit="1" customWidth="1"/>
    <col min="14" max="14" width="13.1796875" bestFit="1" customWidth="1"/>
    <col min="15" max="15" width="20.81640625" bestFit="1" customWidth="1"/>
    <col min="16" max="16" width="19.81640625" bestFit="1" customWidth="1"/>
    <col min="17" max="17" width="17.54296875" bestFit="1" customWidth="1"/>
  </cols>
  <sheetData>
    <row r="1" spans="1:21" ht="17.5" thickBot="1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4</v>
      </c>
      <c r="F1" s="8" t="s">
        <v>3</v>
      </c>
      <c r="G1" s="8" t="s">
        <v>97</v>
      </c>
      <c r="H1" s="8" t="s">
        <v>98</v>
      </c>
      <c r="J1" s="69" t="s">
        <v>99</v>
      </c>
      <c r="K1" s="69"/>
      <c r="L1" s="69"/>
      <c r="M1" s="69"/>
    </row>
    <row r="2" spans="1:21" ht="17.5" thickBot="1" x14ac:dyDescent="0.4">
      <c r="A2" s="57"/>
      <c r="B2" s="26" t="s">
        <v>132</v>
      </c>
      <c r="C2" s="26"/>
      <c r="D2" s="26" t="s">
        <v>176</v>
      </c>
      <c r="E2" s="26">
        <v>70</v>
      </c>
      <c r="F2" s="26"/>
      <c r="G2" s="27" t="str">
        <f>IF(F2="","",VLOOKUP(F2,'Resumo Contrato Reajustado 2026'!$A$2:$S$43,18,0))</f>
        <v/>
      </c>
      <c r="H2" s="27" t="str">
        <f>IF(F2="","",E2*G2)</f>
        <v/>
      </c>
      <c r="I2" s="54" t="s">
        <v>177</v>
      </c>
      <c r="J2" s="5" t="s">
        <v>3</v>
      </c>
      <c r="K2" s="5" t="s">
        <v>103</v>
      </c>
      <c r="L2" s="5" t="s">
        <v>104</v>
      </c>
      <c r="M2" s="5" t="s">
        <v>6</v>
      </c>
      <c r="O2" s="9" t="s">
        <v>105</v>
      </c>
      <c r="P2" s="15">
        <f>SUM(H2:H40)</f>
        <v>0</v>
      </c>
    </row>
    <row r="3" spans="1:21" ht="15.5" x14ac:dyDescent="0.35">
      <c r="A3" s="57"/>
      <c r="B3" s="26" t="s">
        <v>132</v>
      </c>
      <c r="C3" s="26"/>
      <c r="D3" s="26" t="s">
        <v>178</v>
      </c>
      <c r="E3" s="26">
        <v>10</v>
      </c>
      <c r="F3" s="26"/>
      <c r="G3" s="27" t="str">
        <f>IF(F3="","",VLOOKUP(F3,'Resumo Contrato Reajustado 2026'!$A$2:$S$43,18,0))</f>
        <v/>
      </c>
      <c r="H3" s="27" t="str">
        <f t="shared" ref="H3" si="0">IF(F3="","",E3*G3)</f>
        <v/>
      </c>
      <c r="I3" s="55"/>
      <c r="J3" s="1">
        <v>1</v>
      </c>
      <c r="K3" s="1">
        <f t="shared" ref="K3:K44" si="1">SUMIF($F$2:$F$40,J3,$E$2:$E$40)</f>
        <v>0</v>
      </c>
      <c r="L3" s="1">
        <v>5</v>
      </c>
      <c r="M3" s="1">
        <f>L3-K3</f>
        <v>5</v>
      </c>
    </row>
    <row r="4" spans="1:21" ht="15.5" x14ac:dyDescent="0.35">
      <c r="A4" s="57">
        <v>3</v>
      </c>
      <c r="B4" s="26" t="s">
        <v>132</v>
      </c>
      <c r="C4" s="26"/>
      <c r="D4" s="26" t="s">
        <v>179</v>
      </c>
      <c r="E4" s="26">
        <f>16*6</f>
        <v>96</v>
      </c>
      <c r="F4" s="26"/>
      <c r="G4" s="27"/>
      <c r="H4" s="27"/>
      <c r="I4" s="55" t="s">
        <v>177</v>
      </c>
      <c r="J4" s="1">
        <v>2</v>
      </c>
      <c r="K4" s="1">
        <f t="shared" si="1"/>
        <v>0</v>
      </c>
      <c r="L4" s="1">
        <v>5</v>
      </c>
      <c r="M4" s="1">
        <f t="shared" ref="M4:M44" si="2">L4-K4</f>
        <v>5</v>
      </c>
    </row>
    <row r="5" spans="1:21" ht="15.5" x14ac:dyDescent="0.35">
      <c r="A5" s="57" t="s">
        <v>180</v>
      </c>
      <c r="B5" s="26" t="s">
        <v>132</v>
      </c>
      <c r="C5" s="26"/>
      <c r="D5" s="26" t="s">
        <v>181</v>
      </c>
      <c r="E5" s="26">
        <f>70*2</f>
        <v>140</v>
      </c>
      <c r="F5" s="26"/>
      <c r="G5" s="27"/>
      <c r="H5" s="27"/>
      <c r="I5" s="55" t="s">
        <v>177</v>
      </c>
      <c r="J5" s="1">
        <v>3</v>
      </c>
      <c r="K5" s="1">
        <f t="shared" si="1"/>
        <v>0</v>
      </c>
      <c r="L5" s="1">
        <v>5</v>
      </c>
      <c r="M5" s="1">
        <f t="shared" si="2"/>
        <v>5</v>
      </c>
    </row>
    <row r="6" spans="1:21" ht="15.5" x14ac:dyDescent="0.35">
      <c r="A6" s="57" t="s">
        <v>180</v>
      </c>
      <c r="B6" s="26" t="s">
        <v>132</v>
      </c>
      <c r="C6" s="26"/>
      <c r="D6" s="26" t="s">
        <v>181</v>
      </c>
      <c r="E6" s="26">
        <f>70*2</f>
        <v>140</v>
      </c>
      <c r="F6" s="26"/>
      <c r="G6" s="27"/>
      <c r="H6" s="27"/>
      <c r="I6" s="55" t="s">
        <v>177</v>
      </c>
      <c r="J6" s="1">
        <v>4</v>
      </c>
      <c r="K6" s="1">
        <f t="shared" si="1"/>
        <v>0</v>
      </c>
      <c r="L6" s="1">
        <v>200</v>
      </c>
      <c r="M6" s="1">
        <f t="shared" si="2"/>
        <v>200</v>
      </c>
    </row>
    <row r="7" spans="1:21" ht="15.5" x14ac:dyDescent="0.35">
      <c r="A7" s="57" t="s">
        <v>182</v>
      </c>
      <c r="B7" s="26" t="s">
        <v>132</v>
      </c>
      <c r="C7" s="26"/>
      <c r="D7" s="26" t="s">
        <v>183</v>
      </c>
      <c r="E7" s="26">
        <f>70*2</f>
        <v>140</v>
      </c>
      <c r="F7" s="26"/>
      <c r="G7" s="27"/>
      <c r="H7" s="27"/>
      <c r="I7" s="55" t="s">
        <v>177</v>
      </c>
      <c r="J7" s="1">
        <v>5</v>
      </c>
      <c r="K7" s="1">
        <f t="shared" si="1"/>
        <v>0</v>
      </c>
      <c r="L7" s="1">
        <v>200</v>
      </c>
      <c r="M7" s="1">
        <f t="shared" si="2"/>
        <v>200</v>
      </c>
      <c r="U7" t="s">
        <v>117</v>
      </c>
    </row>
    <row r="8" spans="1:21" ht="15.5" x14ac:dyDescent="0.35">
      <c r="A8" s="57"/>
      <c r="B8" s="26" t="s">
        <v>132</v>
      </c>
      <c r="C8" s="26"/>
      <c r="D8" s="26" t="s">
        <v>184</v>
      </c>
      <c r="E8" s="26">
        <f>70*1</f>
        <v>70</v>
      </c>
      <c r="F8" s="26"/>
      <c r="G8" s="27"/>
      <c r="H8" s="27"/>
      <c r="I8" s="55"/>
      <c r="J8" s="1">
        <v>6</v>
      </c>
      <c r="K8" s="1">
        <f t="shared" si="1"/>
        <v>0</v>
      </c>
      <c r="L8" s="1">
        <v>300</v>
      </c>
      <c r="M8" s="1">
        <f t="shared" si="2"/>
        <v>300</v>
      </c>
    </row>
    <row r="9" spans="1:21" ht="15.5" x14ac:dyDescent="0.35">
      <c r="A9" s="58">
        <v>4</v>
      </c>
      <c r="B9" s="37" t="s">
        <v>132</v>
      </c>
      <c r="C9" s="37"/>
      <c r="D9" s="37" t="s">
        <v>185</v>
      </c>
      <c r="E9" s="37"/>
      <c r="F9" s="37"/>
      <c r="G9" s="38"/>
      <c r="H9" s="38"/>
      <c r="I9" s="55" t="s">
        <v>177</v>
      </c>
      <c r="J9" s="1">
        <v>7</v>
      </c>
      <c r="K9" s="1">
        <f t="shared" si="1"/>
        <v>0</v>
      </c>
      <c r="L9" s="1">
        <v>100</v>
      </c>
      <c r="M9" s="1">
        <f t="shared" si="2"/>
        <v>100</v>
      </c>
    </row>
    <row r="10" spans="1:21" ht="15.5" x14ac:dyDescent="0.35">
      <c r="A10" s="57">
        <v>5</v>
      </c>
      <c r="B10" s="26" t="s">
        <v>132</v>
      </c>
      <c r="C10" s="26"/>
      <c r="D10" s="26" t="s">
        <v>186</v>
      </c>
      <c r="E10" s="26">
        <f>1*24</f>
        <v>24</v>
      </c>
      <c r="F10" s="26"/>
      <c r="G10" s="27"/>
      <c r="H10" s="27"/>
      <c r="I10" s="55" t="s">
        <v>177</v>
      </c>
      <c r="J10" s="1">
        <v>8</v>
      </c>
      <c r="K10" s="1">
        <f t="shared" si="1"/>
        <v>0</v>
      </c>
      <c r="L10" s="1">
        <v>5</v>
      </c>
      <c r="M10" s="1">
        <f t="shared" si="2"/>
        <v>5</v>
      </c>
    </row>
    <row r="11" spans="1:21" ht="15.5" x14ac:dyDescent="0.35">
      <c r="A11" s="57">
        <v>5</v>
      </c>
      <c r="B11" s="26" t="s">
        <v>132</v>
      </c>
      <c r="C11" s="26"/>
      <c r="D11" s="26" t="s">
        <v>187</v>
      </c>
      <c r="E11" s="26">
        <f>24*2</f>
        <v>48</v>
      </c>
      <c r="F11" s="26"/>
      <c r="G11" s="27"/>
      <c r="H11" s="27"/>
      <c r="I11" s="55" t="s">
        <v>177</v>
      </c>
      <c r="J11" s="1">
        <v>9</v>
      </c>
      <c r="K11" s="1">
        <f t="shared" si="1"/>
        <v>0</v>
      </c>
      <c r="L11" s="1">
        <v>200</v>
      </c>
      <c r="M11" s="1">
        <f t="shared" si="2"/>
        <v>200</v>
      </c>
    </row>
    <row r="12" spans="1:21" ht="15.5" x14ac:dyDescent="0.35">
      <c r="A12" s="57">
        <v>5</v>
      </c>
      <c r="B12" s="26" t="s">
        <v>132</v>
      </c>
      <c r="C12" s="26"/>
      <c r="D12" s="26" t="s">
        <v>188</v>
      </c>
      <c r="E12" s="26">
        <f>24*6</f>
        <v>144</v>
      </c>
      <c r="F12" s="26"/>
      <c r="G12" s="27"/>
      <c r="H12" s="27"/>
      <c r="I12" s="55" t="s">
        <v>177</v>
      </c>
      <c r="J12" s="1">
        <v>10</v>
      </c>
      <c r="K12" s="1">
        <f t="shared" si="1"/>
        <v>0</v>
      </c>
      <c r="L12" s="1">
        <v>200</v>
      </c>
      <c r="M12" s="1">
        <f t="shared" si="2"/>
        <v>200</v>
      </c>
    </row>
    <row r="13" spans="1:21" ht="15.5" x14ac:dyDescent="0.35">
      <c r="A13" s="58"/>
      <c r="B13" s="37" t="s">
        <v>189</v>
      </c>
      <c r="C13" s="37"/>
      <c r="D13" s="37" t="s">
        <v>190</v>
      </c>
      <c r="E13" s="37"/>
      <c r="F13" s="37"/>
      <c r="G13" s="38"/>
      <c r="H13" s="38"/>
      <c r="I13" s="55"/>
      <c r="J13" s="1">
        <v>11</v>
      </c>
      <c r="K13" s="1">
        <f t="shared" si="1"/>
        <v>0</v>
      </c>
      <c r="L13" s="1">
        <v>200</v>
      </c>
      <c r="M13" s="1">
        <f t="shared" si="2"/>
        <v>200</v>
      </c>
    </row>
    <row r="14" spans="1:21" ht="15.5" x14ac:dyDescent="0.35">
      <c r="A14" s="57">
        <v>1</v>
      </c>
      <c r="B14" s="26" t="s">
        <v>191</v>
      </c>
      <c r="C14" s="26"/>
      <c r="D14" s="26" t="s">
        <v>192</v>
      </c>
      <c r="E14" s="26">
        <f>215*25</f>
        <v>5375</v>
      </c>
      <c r="F14" s="26"/>
      <c r="G14" s="27"/>
      <c r="H14" s="27"/>
      <c r="I14" s="56" t="s">
        <v>177</v>
      </c>
      <c r="J14" s="1">
        <v>12</v>
      </c>
      <c r="K14" s="1">
        <f t="shared" si="1"/>
        <v>0</v>
      </c>
      <c r="L14" s="1">
        <v>100</v>
      </c>
      <c r="M14" s="1">
        <f t="shared" si="2"/>
        <v>100</v>
      </c>
    </row>
    <row r="15" spans="1:21" ht="15.5" x14ac:dyDescent="0.35">
      <c r="A15" s="58" t="s">
        <v>193</v>
      </c>
      <c r="B15" s="37" t="s">
        <v>161</v>
      </c>
      <c r="C15" s="37"/>
      <c r="D15" s="37" t="s">
        <v>194</v>
      </c>
      <c r="E15" s="37"/>
      <c r="F15" s="37"/>
      <c r="G15" s="38"/>
      <c r="H15" s="38"/>
      <c r="I15" s="52" t="s">
        <v>177</v>
      </c>
      <c r="J15" s="1">
        <v>13</v>
      </c>
      <c r="K15" s="1">
        <f t="shared" si="1"/>
        <v>0</v>
      </c>
      <c r="L15" s="1">
        <v>200</v>
      </c>
      <c r="M15" s="1">
        <f t="shared" si="2"/>
        <v>200</v>
      </c>
    </row>
    <row r="16" spans="1:21" ht="15.5" x14ac:dyDescent="0.35">
      <c r="A16" s="57">
        <v>7</v>
      </c>
      <c r="B16" s="26" t="s">
        <v>132</v>
      </c>
      <c r="C16" s="26" t="s">
        <v>195</v>
      </c>
      <c r="D16" s="26" t="s">
        <v>196</v>
      </c>
      <c r="E16" s="26">
        <f>6*14</f>
        <v>84</v>
      </c>
      <c r="F16" s="26"/>
      <c r="G16" s="27"/>
      <c r="H16" s="27"/>
      <c r="I16" s="54" t="s">
        <v>177</v>
      </c>
      <c r="J16" s="1">
        <v>14</v>
      </c>
      <c r="K16" s="1">
        <f t="shared" si="1"/>
        <v>0</v>
      </c>
      <c r="L16" s="1">
        <v>200</v>
      </c>
      <c r="M16" s="1">
        <f t="shared" si="2"/>
        <v>200</v>
      </c>
      <c r="P16" s="25"/>
    </row>
    <row r="17" spans="1:15" ht="15.5" x14ac:dyDescent="0.35">
      <c r="A17" s="57">
        <v>7</v>
      </c>
      <c r="B17" s="26" t="s">
        <v>132</v>
      </c>
      <c r="C17" s="26" t="s">
        <v>195</v>
      </c>
      <c r="D17" s="26" t="s">
        <v>197</v>
      </c>
      <c r="E17" s="26">
        <f>30*1</f>
        <v>30</v>
      </c>
      <c r="F17" s="26"/>
      <c r="G17" s="27"/>
      <c r="H17" s="27"/>
      <c r="I17" s="54" t="s">
        <v>177</v>
      </c>
      <c r="J17" s="1">
        <v>15</v>
      </c>
      <c r="K17" s="1">
        <f t="shared" si="1"/>
        <v>0</v>
      </c>
      <c r="L17" s="1">
        <v>300</v>
      </c>
      <c r="M17" s="1">
        <f t="shared" si="2"/>
        <v>300</v>
      </c>
    </row>
    <row r="18" spans="1:15" ht="15.5" x14ac:dyDescent="0.35">
      <c r="A18" s="58">
        <v>18</v>
      </c>
      <c r="B18" s="37" t="s">
        <v>132</v>
      </c>
      <c r="C18" s="37"/>
      <c r="D18" s="37" t="s">
        <v>198</v>
      </c>
      <c r="E18" s="37">
        <v>6</v>
      </c>
      <c r="F18" s="37"/>
      <c r="G18" s="38"/>
      <c r="H18" s="38"/>
      <c r="I18" s="54" t="s">
        <v>177</v>
      </c>
      <c r="J18" s="1">
        <v>16</v>
      </c>
      <c r="K18" s="1">
        <f t="shared" si="1"/>
        <v>0</v>
      </c>
      <c r="L18" s="1">
        <v>200</v>
      </c>
      <c r="M18" s="1">
        <f t="shared" si="2"/>
        <v>200</v>
      </c>
    </row>
    <row r="19" spans="1:15" ht="15.5" x14ac:dyDescent="0.35">
      <c r="A19" s="57">
        <v>13</v>
      </c>
      <c r="B19" s="26" t="s">
        <v>132</v>
      </c>
      <c r="C19" s="26"/>
      <c r="D19" s="26" t="s">
        <v>199</v>
      </c>
      <c r="E19" s="26">
        <v>11</v>
      </c>
      <c r="F19" s="26"/>
      <c r="G19" s="27"/>
      <c r="H19" s="27"/>
      <c r="I19" s="54" t="s">
        <v>177</v>
      </c>
      <c r="J19" s="1">
        <v>17</v>
      </c>
      <c r="K19" s="1">
        <f t="shared" si="1"/>
        <v>0</v>
      </c>
      <c r="L19" s="1">
        <v>200</v>
      </c>
      <c r="M19" s="1">
        <f t="shared" si="2"/>
        <v>200</v>
      </c>
      <c r="O19" s="25"/>
    </row>
    <row r="20" spans="1:15" ht="15.5" x14ac:dyDescent="0.35">
      <c r="A20" s="58">
        <v>29</v>
      </c>
      <c r="B20" s="37" t="s">
        <v>118</v>
      </c>
      <c r="C20" s="37" t="s">
        <v>200</v>
      </c>
      <c r="D20" s="37" t="s">
        <v>201</v>
      </c>
      <c r="E20" s="37">
        <f>1*10</f>
        <v>10</v>
      </c>
      <c r="F20" s="37"/>
      <c r="G20" s="38"/>
      <c r="H20" s="38"/>
      <c r="I20" s="54" t="s">
        <v>177</v>
      </c>
      <c r="J20" s="1">
        <v>18</v>
      </c>
      <c r="K20" s="1">
        <f t="shared" si="1"/>
        <v>0</v>
      </c>
      <c r="L20" s="1">
        <v>500</v>
      </c>
      <c r="M20" s="1">
        <f t="shared" si="2"/>
        <v>500</v>
      </c>
    </row>
    <row r="21" spans="1:15" ht="15.5" x14ac:dyDescent="0.35">
      <c r="A21" s="58">
        <v>28</v>
      </c>
      <c r="B21" s="37" t="s">
        <v>118</v>
      </c>
      <c r="C21" s="37" t="s">
        <v>202</v>
      </c>
      <c r="D21" s="37" t="s">
        <v>203</v>
      </c>
      <c r="E21" s="37">
        <f>1*12</f>
        <v>12</v>
      </c>
      <c r="F21" s="37"/>
      <c r="G21" s="38"/>
      <c r="H21" s="38"/>
      <c r="I21" s="54" t="s">
        <v>177</v>
      </c>
      <c r="J21" s="1">
        <v>19</v>
      </c>
      <c r="K21" s="1">
        <f t="shared" si="1"/>
        <v>0</v>
      </c>
      <c r="L21" s="1">
        <v>80000</v>
      </c>
      <c r="M21" s="1">
        <f t="shared" si="2"/>
        <v>80000</v>
      </c>
    </row>
    <row r="22" spans="1:15" ht="15.5" x14ac:dyDescent="0.35">
      <c r="A22" s="58">
        <v>28</v>
      </c>
      <c r="B22" s="37" t="s">
        <v>118</v>
      </c>
      <c r="C22" s="37" t="s">
        <v>204</v>
      </c>
      <c r="D22" s="37" t="s">
        <v>203</v>
      </c>
      <c r="E22" s="37">
        <f t="shared" ref="E22:E23" si="3">1*12</f>
        <v>12</v>
      </c>
      <c r="F22" s="37"/>
      <c r="G22" s="38"/>
      <c r="H22" s="38"/>
      <c r="I22" s="54" t="s">
        <v>177</v>
      </c>
      <c r="J22" s="1">
        <v>20</v>
      </c>
      <c r="K22" s="1">
        <f t="shared" si="1"/>
        <v>0</v>
      </c>
      <c r="L22" s="1">
        <v>500</v>
      </c>
      <c r="M22" s="1">
        <f t="shared" si="2"/>
        <v>500</v>
      </c>
    </row>
    <row r="23" spans="1:15" ht="15.5" x14ac:dyDescent="0.35">
      <c r="A23" s="58">
        <v>28</v>
      </c>
      <c r="B23" s="37" t="s">
        <v>118</v>
      </c>
      <c r="C23" s="37" t="s">
        <v>205</v>
      </c>
      <c r="D23" s="37" t="s">
        <v>203</v>
      </c>
      <c r="E23" s="37">
        <f t="shared" si="3"/>
        <v>12</v>
      </c>
      <c r="F23" s="37"/>
      <c r="G23" s="38"/>
      <c r="H23" s="38"/>
      <c r="I23" s="54" t="s">
        <v>177</v>
      </c>
      <c r="J23" s="1">
        <v>21</v>
      </c>
      <c r="K23" s="1">
        <f t="shared" si="1"/>
        <v>0</v>
      </c>
      <c r="L23" s="1">
        <v>50000</v>
      </c>
      <c r="M23" s="1">
        <f t="shared" si="2"/>
        <v>50000</v>
      </c>
    </row>
    <row r="24" spans="1:15" ht="15.5" x14ac:dyDescent="0.35">
      <c r="A24" s="57"/>
      <c r="B24" s="26" t="s">
        <v>206</v>
      </c>
      <c r="C24" s="26"/>
      <c r="D24" s="26" t="s">
        <v>207</v>
      </c>
      <c r="E24" s="26">
        <f>16*9</f>
        <v>144</v>
      </c>
      <c r="F24" s="26"/>
      <c r="G24" s="27"/>
      <c r="H24" s="27"/>
      <c r="I24" s="54"/>
      <c r="J24" s="1">
        <v>22</v>
      </c>
      <c r="K24" s="1">
        <f t="shared" si="1"/>
        <v>0</v>
      </c>
      <c r="L24" s="1">
        <v>500</v>
      </c>
      <c r="M24" s="1">
        <f t="shared" si="2"/>
        <v>500</v>
      </c>
    </row>
    <row r="25" spans="1:15" ht="15.5" x14ac:dyDescent="0.35">
      <c r="A25" s="57"/>
      <c r="B25" s="26" t="s">
        <v>206</v>
      </c>
      <c r="C25" s="26"/>
      <c r="D25" s="26" t="s">
        <v>208</v>
      </c>
      <c r="E25" s="26">
        <f>16*6</f>
        <v>96</v>
      </c>
      <c r="F25" s="26"/>
      <c r="G25" s="27"/>
      <c r="H25" s="27"/>
      <c r="I25" s="54"/>
      <c r="J25" s="1">
        <v>23</v>
      </c>
      <c r="K25" s="1">
        <f t="shared" si="1"/>
        <v>0</v>
      </c>
      <c r="L25" s="1">
        <v>80000</v>
      </c>
      <c r="M25" s="1">
        <f t="shared" si="2"/>
        <v>80000</v>
      </c>
    </row>
    <row r="26" spans="1:15" ht="15.5" x14ac:dyDescent="0.35">
      <c r="A26" s="57"/>
      <c r="B26" s="26" t="s">
        <v>206</v>
      </c>
      <c r="C26" s="26"/>
      <c r="D26" s="26" t="s">
        <v>209</v>
      </c>
      <c r="E26" s="26">
        <f>16*6</f>
        <v>96</v>
      </c>
      <c r="F26" s="26"/>
      <c r="G26" s="27"/>
      <c r="H26" s="27"/>
      <c r="I26" s="54"/>
      <c r="J26" s="1">
        <v>24</v>
      </c>
      <c r="K26" s="1">
        <f t="shared" si="1"/>
        <v>0</v>
      </c>
      <c r="L26" s="1">
        <v>500</v>
      </c>
      <c r="M26" s="1">
        <f t="shared" si="2"/>
        <v>500</v>
      </c>
    </row>
    <row r="27" spans="1:15" ht="15.5" x14ac:dyDescent="0.35">
      <c r="A27" s="57"/>
      <c r="B27" s="26" t="s">
        <v>206</v>
      </c>
      <c r="C27" s="26"/>
      <c r="D27" s="26" t="s">
        <v>210</v>
      </c>
      <c r="E27" s="26">
        <f>16*5</f>
        <v>80</v>
      </c>
      <c r="F27" s="26"/>
      <c r="G27" s="27"/>
      <c r="H27" s="27"/>
      <c r="I27" s="54"/>
      <c r="J27" s="1">
        <v>25</v>
      </c>
      <c r="K27" s="1">
        <f t="shared" si="1"/>
        <v>0</v>
      </c>
      <c r="L27" s="1">
        <v>50000</v>
      </c>
      <c r="M27" s="1">
        <f t="shared" si="2"/>
        <v>50000</v>
      </c>
    </row>
    <row r="28" spans="1:15" ht="15.5" x14ac:dyDescent="0.35">
      <c r="A28" s="58">
        <v>24</v>
      </c>
      <c r="B28" s="37" t="s">
        <v>132</v>
      </c>
      <c r="C28" s="37"/>
      <c r="D28" s="37" t="s">
        <v>211</v>
      </c>
      <c r="E28" s="37">
        <f>1*20</f>
        <v>20</v>
      </c>
      <c r="F28" s="37"/>
      <c r="G28" s="38"/>
      <c r="H28" s="38"/>
      <c r="I28" s="54" t="s">
        <v>177</v>
      </c>
      <c r="J28" s="1">
        <v>26</v>
      </c>
      <c r="K28" s="1">
        <f t="shared" si="1"/>
        <v>0</v>
      </c>
      <c r="L28" s="1">
        <v>300</v>
      </c>
      <c r="M28" s="1">
        <f t="shared" si="2"/>
        <v>300</v>
      </c>
    </row>
    <row r="29" spans="1:15" ht="15.5" x14ac:dyDescent="0.35">
      <c r="A29" s="58">
        <v>24</v>
      </c>
      <c r="B29" s="37" t="s">
        <v>132</v>
      </c>
      <c r="C29" s="37"/>
      <c r="D29" s="37" t="s">
        <v>212</v>
      </c>
      <c r="E29" s="37">
        <f>1*20</f>
        <v>20</v>
      </c>
      <c r="F29" s="37"/>
      <c r="G29" s="38"/>
      <c r="H29" s="38"/>
      <c r="I29" s="54" t="s">
        <v>177</v>
      </c>
      <c r="J29" s="1">
        <v>27</v>
      </c>
      <c r="K29" s="1">
        <f t="shared" si="1"/>
        <v>0</v>
      </c>
      <c r="L29" s="1">
        <v>300</v>
      </c>
      <c r="M29" s="1">
        <f t="shared" si="2"/>
        <v>300</v>
      </c>
    </row>
    <row r="30" spans="1:15" ht="15.5" x14ac:dyDescent="0.35">
      <c r="A30" s="58">
        <v>24</v>
      </c>
      <c r="B30" s="37" t="s">
        <v>132</v>
      </c>
      <c r="C30" s="37"/>
      <c r="D30" s="37" t="s">
        <v>213</v>
      </c>
      <c r="E30" s="37">
        <f>1*20</f>
        <v>20</v>
      </c>
      <c r="F30" s="37"/>
      <c r="G30" s="38"/>
      <c r="H30" s="38"/>
      <c r="I30" s="54" t="s">
        <v>177</v>
      </c>
      <c r="J30" s="1">
        <v>28</v>
      </c>
      <c r="K30" s="1">
        <f t="shared" si="1"/>
        <v>0</v>
      </c>
      <c r="L30" s="1">
        <v>300</v>
      </c>
      <c r="M30" s="1">
        <f t="shared" si="2"/>
        <v>300</v>
      </c>
    </row>
    <row r="31" spans="1:15" ht="15.5" x14ac:dyDescent="0.35">
      <c r="A31" s="58">
        <v>23</v>
      </c>
      <c r="B31" s="37" t="s">
        <v>132</v>
      </c>
      <c r="C31" s="37"/>
      <c r="D31" s="37" t="s">
        <v>214</v>
      </c>
      <c r="E31" s="37">
        <f>1*10</f>
        <v>10</v>
      </c>
      <c r="F31" s="37"/>
      <c r="G31" s="38"/>
      <c r="H31" s="38"/>
      <c r="I31" s="54" t="s">
        <v>177</v>
      </c>
      <c r="J31" s="1">
        <v>29</v>
      </c>
      <c r="K31" s="1">
        <f t="shared" si="1"/>
        <v>0</v>
      </c>
      <c r="L31" s="1">
        <v>300</v>
      </c>
      <c r="M31" s="1">
        <f t="shared" si="2"/>
        <v>300</v>
      </c>
    </row>
    <row r="32" spans="1:15" ht="15" customHeight="1" x14ac:dyDescent="0.35">
      <c r="A32" s="58">
        <v>23</v>
      </c>
      <c r="B32" s="37" t="s">
        <v>132</v>
      </c>
      <c r="C32" s="37"/>
      <c r="D32" s="37" t="s">
        <v>215</v>
      </c>
      <c r="E32" s="37">
        <f t="shared" ref="E32:E36" si="4">1*10</f>
        <v>10</v>
      </c>
      <c r="F32" s="37"/>
      <c r="G32" s="38"/>
      <c r="H32" s="38"/>
      <c r="I32" s="54" t="s">
        <v>177</v>
      </c>
      <c r="J32" s="1">
        <v>30</v>
      </c>
      <c r="K32" s="1">
        <f t="shared" si="1"/>
        <v>0</v>
      </c>
      <c r="L32" s="1">
        <v>300</v>
      </c>
      <c r="M32" s="1">
        <f t="shared" si="2"/>
        <v>300</v>
      </c>
    </row>
    <row r="33" spans="1:18" ht="15" customHeight="1" x14ac:dyDescent="0.35">
      <c r="A33" s="58">
        <v>23</v>
      </c>
      <c r="B33" s="37" t="s">
        <v>132</v>
      </c>
      <c r="C33" s="37"/>
      <c r="D33" s="37" t="s">
        <v>216</v>
      </c>
      <c r="E33" s="37">
        <f t="shared" si="4"/>
        <v>10</v>
      </c>
      <c r="F33" s="37"/>
      <c r="G33" s="38"/>
      <c r="H33" s="38"/>
      <c r="I33" s="54" t="s">
        <v>177</v>
      </c>
      <c r="J33" s="1">
        <v>31</v>
      </c>
      <c r="K33" s="1">
        <f t="shared" si="1"/>
        <v>0</v>
      </c>
      <c r="L33" s="1">
        <v>300</v>
      </c>
      <c r="M33" s="1">
        <f t="shared" si="2"/>
        <v>300</v>
      </c>
    </row>
    <row r="34" spans="1:18" ht="15" customHeight="1" x14ac:dyDescent="0.35">
      <c r="A34" s="58">
        <v>23</v>
      </c>
      <c r="B34" s="37" t="s">
        <v>132</v>
      </c>
      <c r="C34" s="37"/>
      <c r="D34" s="37" t="s">
        <v>217</v>
      </c>
      <c r="E34" s="37">
        <f t="shared" si="4"/>
        <v>10</v>
      </c>
      <c r="F34" s="37"/>
      <c r="G34" s="38"/>
      <c r="H34" s="38"/>
      <c r="I34" s="54" t="s">
        <v>177</v>
      </c>
      <c r="J34" s="1">
        <v>32</v>
      </c>
      <c r="K34" s="1">
        <f t="shared" si="1"/>
        <v>0</v>
      </c>
      <c r="L34" s="1">
        <v>300</v>
      </c>
      <c r="M34" s="1">
        <f t="shared" si="2"/>
        <v>300</v>
      </c>
      <c r="R34">
        <f>P34-Q34</f>
        <v>0</v>
      </c>
    </row>
    <row r="35" spans="1:18" ht="15" customHeight="1" x14ac:dyDescent="0.35">
      <c r="A35" s="58">
        <v>23</v>
      </c>
      <c r="B35" s="37" t="s">
        <v>132</v>
      </c>
      <c r="C35" s="37"/>
      <c r="D35" s="37" t="s">
        <v>215</v>
      </c>
      <c r="E35" s="37">
        <f t="shared" si="4"/>
        <v>10</v>
      </c>
      <c r="F35" s="37"/>
      <c r="G35" s="38"/>
      <c r="H35" s="38"/>
      <c r="I35" s="54" t="s">
        <v>177</v>
      </c>
      <c r="J35" s="1">
        <v>33</v>
      </c>
      <c r="K35" s="1">
        <f t="shared" si="1"/>
        <v>0</v>
      </c>
      <c r="L35" s="1">
        <v>200</v>
      </c>
      <c r="M35" s="1">
        <f t="shared" si="2"/>
        <v>200</v>
      </c>
    </row>
    <row r="36" spans="1:18" ht="15" customHeight="1" x14ac:dyDescent="0.35">
      <c r="A36" s="58">
        <v>23</v>
      </c>
      <c r="B36" s="37" t="s">
        <v>132</v>
      </c>
      <c r="C36" s="37"/>
      <c r="D36" s="37" t="s">
        <v>216</v>
      </c>
      <c r="E36" s="37">
        <f t="shared" si="4"/>
        <v>10</v>
      </c>
      <c r="F36" s="37"/>
      <c r="G36" s="38"/>
      <c r="H36" s="38"/>
      <c r="I36" s="54" t="s">
        <v>177</v>
      </c>
      <c r="J36" s="1">
        <v>34</v>
      </c>
      <c r="K36" s="1">
        <f t="shared" si="1"/>
        <v>0</v>
      </c>
      <c r="L36" s="1">
        <v>200</v>
      </c>
      <c r="M36" s="1">
        <f t="shared" si="2"/>
        <v>200</v>
      </c>
      <c r="R36">
        <f>P36-Q36</f>
        <v>0</v>
      </c>
    </row>
    <row r="37" spans="1:18" ht="15.5" x14ac:dyDescent="0.35">
      <c r="A37" s="57">
        <v>12</v>
      </c>
      <c r="B37" s="26" t="s">
        <v>132</v>
      </c>
      <c r="C37" s="26" t="s">
        <v>218</v>
      </c>
      <c r="D37" s="26" t="s">
        <v>219</v>
      </c>
      <c r="E37" s="26">
        <f>160*12</f>
        <v>1920</v>
      </c>
      <c r="F37" s="26"/>
      <c r="G37" s="27"/>
      <c r="H37" s="27"/>
      <c r="I37" s="54" t="s">
        <v>177</v>
      </c>
      <c r="J37" s="1">
        <v>35</v>
      </c>
      <c r="K37" s="1">
        <f t="shared" si="1"/>
        <v>0</v>
      </c>
      <c r="L37" s="1">
        <v>200</v>
      </c>
      <c r="M37" s="1">
        <f t="shared" si="2"/>
        <v>200</v>
      </c>
      <c r="R37">
        <f>P37-Q37</f>
        <v>0</v>
      </c>
    </row>
    <row r="38" spans="1:18" ht="15.5" x14ac:dyDescent="0.35">
      <c r="A38" s="58">
        <v>6</v>
      </c>
      <c r="B38" s="37" t="s">
        <v>158</v>
      </c>
      <c r="C38" s="37"/>
      <c r="D38" s="37" t="s">
        <v>220</v>
      </c>
      <c r="E38" s="37">
        <v>7</v>
      </c>
      <c r="F38" s="37"/>
      <c r="G38" s="38"/>
      <c r="H38" s="38"/>
      <c r="I38" t="s">
        <v>177</v>
      </c>
      <c r="J38" s="1">
        <v>36</v>
      </c>
      <c r="K38" s="1">
        <f t="shared" si="1"/>
        <v>0</v>
      </c>
      <c r="L38" s="1">
        <v>5000</v>
      </c>
      <c r="M38" s="1">
        <f t="shared" si="2"/>
        <v>5000</v>
      </c>
      <c r="R38">
        <f>P38-Q38</f>
        <v>0</v>
      </c>
    </row>
    <row r="39" spans="1:18" ht="15.5" x14ac:dyDescent="0.35">
      <c r="A39" s="57"/>
      <c r="B39" s="26" t="s">
        <v>132</v>
      </c>
      <c r="C39" s="26" t="s">
        <v>221</v>
      </c>
      <c r="D39" s="26" t="s">
        <v>222</v>
      </c>
      <c r="E39" s="26"/>
      <c r="F39" s="26"/>
      <c r="G39" s="27"/>
      <c r="H39" s="27"/>
      <c r="I39" s="32"/>
      <c r="J39" s="1">
        <v>37</v>
      </c>
      <c r="K39" s="1">
        <f t="shared" si="1"/>
        <v>0</v>
      </c>
      <c r="L39" s="1">
        <v>300</v>
      </c>
      <c r="M39" s="1">
        <f t="shared" si="2"/>
        <v>300</v>
      </c>
    </row>
    <row r="40" spans="1:18" ht="15.5" x14ac:dyDescent="0.35">
      <c r="A40" s="58">
        <v>14</v>
      </c>
      <c r="B40" s="37" t="s">
        <v>132</v>
      </c>
      <c r="C40" s="37"/>
      <c r="D40" s="37" t="s">
        <v>223</v>
      </c>
      <c r="E40" s="37">
        <f>40*2</f>
        <v>80</v>
      </c>
      <c r="F40" s="37"/>
      <c r="G40" s="38"/>
      <c r="H40" s="38"/>
      <c r="I40" s="32" t="s">
        <v>177</v>
      </c>
      <c r="J40" s="1">
        <v>38</v>
      </c>
      <c r="K40" s="1">
        <f t="shared" si="1"/>
        <v>0</v>
      </c>
      <c r="L40" s="1">
        <v>300</v>
      </c>
      <c r="M40" s="1">
        <f t="shared" si="2"/>
        <v>300</v>
      </c>
    </row>
    <row r="41" spans="1:18" ht="15.5" x14ac:dyDescent="0.35">
      <c r="A41" s="58">
        <v>14</v>
      </c>
      <c r="B41" s="37" t="s">
        <v>132</v>
      </c>
      <c r="C41" s="37"/>
      <c r="D41" s="37" t="s">
        <v>224</v>
      </c>
      <c r="E41" s="37">
        <f>40*1</f>
        <v>40</v>
      </c>
      <c r="F41" s="37"/>
      <c r="G41" s="38"/>
      <c r="H41" s="38"/>
      <c r="I41" s="32" t="s">
        <v>177</v>
      </c>
      <c r="J41" s="1">
        <v>39</v>
      </c>
      <c r="K41" s="1">
        <f t="shared" si="1"/>
        <v>0</v>
      </c>
      <c r="L41" s="1">
        <v>30</v>
      </c>
      <c r="M41" s="1">
        <f t="shared" si="2"/>
        <v>30</v>
      </c>
    </row>
    <row r="42" spans="1:18" ht="15.5" x14ac:dyDescent="0.35">
      <c r="A42" s="57"/>
      <c r="B42" s="26" t="s">
        <v>132</v>
      </c>
      <c r="C42" s="26"/>
      <c r="D42" s="26" t="s">
        <v>225</v>
      </c>
      <c r="E42" s="26">
        <f>1*60</f>
        <v>60</v>
      </c>
      <c r="F42" s="26"/>
      <c r="G42" s="27"/>
      <c r="H42" s="27"/>
      <c r="I42" s="32"/>
      <c r="J42" s="1">
        <v>40</v>
      </c>
      <c r="K42" s="1">
        <f t="shared" si="1"/>
        <v>0</v>
      </c>
      <c r="L42" s="1">
        <v>30</v>
      </c>
      <c r="M42" s="1">
        <f t="shared" si="2"/>
        <v>30</v>
      </c>
    </row>
    <row r="43" spans="1:18" ht="15.5" x14ac:dyDescent="0.35">
      <c r="A43" s="58">
        <v>16</v>
      </c>
      <c r="B43" s="37" t="s">
        <v>132</v>
      </c>
      <c r="C43" s="37" t="s">
        <v>226</v>
      </c>
      <c r="D43" s="37" t="s">
        <v>227</v>
      </c>
      <c r="E43" s="37">
        <f>1*40</f>
        <v>40</v>
      </c>
      <c r="F43" s="37"/>
      <c r="G43" s="38"/>
      <c r="H43" s="38"/>
      <c r="I43" s="32" t="s">
        <v>177</v>
      </c>
      <c r="J43" s="1">
        <v>41</v>
      </c>
      <c r="K43" s="1">
        <f t="shared" si="1"/>
        <v>0</v>
      </c>
      <c r="L43" s="1">
        <v>30</v>
      </c>
      <c r="M43" s="1">
        <f t="shared" si="2"/>
        <v>30</v>
      </c>
    </row>
    <row r="44" spans="1:18" ht="15.5" x14ac:dyDescent="0.35">
      <c r="A44" s="57">
        <v>17</v>
      </c>
      <c r="B44" s="26" t="s">
        <v>132</v>
      </c>
      <c r="C44" s="26"/>
      <c r="D44" s="26" t="s">
        <v>228</v>
      </c>
      <c r="E44" s="26">
        <f>1*50</f>
        <v>50</v>
      </c>
      <c r="F44" s="26"/>
      <c r="G44" s="27"/>
      <c r="H44" s="27"/>
      <c r="I44" s="32" t="s">
        <v>177</v>
      </c>
      <c r="J44" s="1">
        <v>42</v>
      </c>
      <c r="K44" s="1">
        <f t="shared" si="1"/>
        <v>0</v>
      </c>
      <c r="L44" s="1">
        <v>30</v>
      </c>
      <c r="M44" s="1">
        <f t="shared" si="2"/>
        <v>30</v>
      </c>
    </row>
    <row r="45" spans="1:18" ht="15.5" x14ac:dyDescent="0.35">
      <c r="A45" s="58">
        <v>25</v>
      </c>
      <c r="B45" s="37" t="s">
        <v>132</v>
      </c>
      <c r="C45" s="37"/>
      <c r="D45" s="37" t="s">
        <v>229</v>
      </c>
      <c r="E45" s="37">
        <f>3*10</f>
        <v>30</v>
      </c>
      <c r="F45" s="37"/>
      <c r="G45" s="38"/>
      <c r="H45" s="38"/>
      <c r="I45" s="32" t="s">
        <v>177</v>
      </c>
    </row>
    <row r="46" spans="1:18" ht="15.5" x14ac:dyDescent="0.35">
      <c r="A46" s="57"/>
      <c r="B46" s="26" t="s">
        <v>132</v>
      </c>
      <c r="C46" s="26"/>
      <c r="D46" s="26" t="s">
        <v>230</v>
      </c>
      <c r="E46" s="26"/>
      <c r="F46" s="26"/>
      <c r="G46" s="27"/>
      <c r="H46" s="27"/>
      <c r="I46" s="32"/>
    </row>
    <row r="47" spans="1:18" ht="15.5" x14ac:dyDescent="0.35">
      <c r="A47" s="58">
        <v>21</v>
      </c>
      <c r="B47" s="37" t="s">
        <v>132</v>
      </c>
      <c r="C47" s="37"/>
      <c r="D47" s="37" t="s">
        <v>231</v>
      </c>
      <c r="E47" s="37"/>
      <c r="F47" s="37"/>
      <c r="G47" s="38"/>
      <c r="H47" s="38"/>
      <c r="I47" s="32" t="s">
        <v>177</v>
      </c>
    </row>
    <row r="48" spans="1:18" ht="15.5" x14ac:dyDescent="0.35">
      <c r="A48" s="57">
        <v>22</v>
      </c>
      <c r="B48" s="26" t="s">
        <v>132</v>
      </c>
      <c r="C48" s="26"/>
      <c r="D48" s="26" t="s">
        <v>232</v>
      </c>
      <c r="E48" s="26"/>
      <c r="F48" s="26"/>
      <c r="G48" s="27"/>
      <c r="H48" s="27"/>
      <c r="I48" s="32" t="s">
        <v>177</v>
      </c>
    </row>
    <row r="49" spans="1:10" ht="15.5" x14ac:dyDescent="0.35">
      <c r="A49" s="58">
        <v>9</v>
      </c>
      <c r="B49" s="37" t="s">
        <v>173</v>
      </c>
      <c r="C49" s="37"/>
      <c r="D49" s="37" t="s">
        <v>233</v>
      </c>
      <c r="E49" s="37"/>
      <c r="F49" s="37"/>
      <c r="G49" s="38"/>
      <c r="H49" s="38"/>
      <c r="I49" s="32" t="s">
        <v>177</v>
      </c>
    </row>
    <row r="50" spans="1:10" ht="15.5" x14ac:dyDescent="0.35">
      <c r="A50" s="57">
        <v>10</v>
      </c>
      <c r="B50" s="26" t="s">
        <v>206</v>
      </c>
      <c r="C50" s="26"/>
      <c r="D50" s="26" t="s">
        <v>234</v>
      </c>
      <c r="E50" s="26"/>
      <c r="F50" s="26"/>
      <c r="G50" s="27"/>
      <c r="H50" s="27"/>
      <c r="I50" s="32" t="s">
        <v>177</v>
      </c>
    </row>
    <row r="51" spans="1:10" ht="15.5" x14ac:dyDescent="0.35">
      <c r="A51" s="58"/>
      <c r="B51" s="37" t="s">
        <v>118</v>
      </c>
      <c r="C51" s="37" t="s">
        <v>235</v>
      </c>
      <c r="D51" s="37" t="s">
        <v>236</v>
      </c>
      <c r="E51" s="37">
        <f>1*24</f>
        <v>24</v>
      </c>
      <c r="F51" s="37"/>
      <c r="G51" s="38"/>
      <c r="H51" s="38"/>
      <c r="I51" s="32"/>
    </row>
    <row r="52" spans="1:10" ht="15.5" x14ac:dyDescent="0.35">
      <c r="A52" s="58"/>
      <c r="B52" s="37" t="s">
        <v>118</v>
      </c>
      <c r="C52" s="37" t="s">
        <v>237</v>
      </c>
      <c r="D52" s="37" t="s">
        <v>236</v>
      </c>
      <c r="E52" s="37">
        <f>1*24</f>
        <v>24</v>
      </c>
      <c r="F52" s="37"/>
      <c r="G52" s="38"/>
      <c r="H52" s="38"/>
      <c r="I52" s="32"/>
    </row>
    <row r="53" spans="1:10" ht="15.5" x14ac:dyDescent="0.35">
      <c r="A53" s="57"/>
      <c r="B53" s="26"/>
      <c r="C53" s="26" t="s">
        <v>238</v>
      </c>
      <c r="D53" s="26" t="s">
        <v>239</v>
      </c>
      <c r="E53" s="26">
        <f>30*2</f>
        <v>60</v>
      </c>
      <c r="F53" s="26"/>
      <c r="G53" s="27"/>
      <c r="H53" s="27"/>
    </row>
    <row r="54" spans="1:10" ht="15.5" x14ac:dyDescent="0.35">
      <c r="A54" s="58">
        <v>18</v>
      </c>
      <c r="B54" s="37" t="s">
        <v>132</v>
      </c>
      <c r="C54" s="37"/>
      <c r="D54" s="37" t="s">
        <v>240</v>
      </c>
      <c r="E54" s="37">
        <v>5</v>
      </c>
      <c r="F54" s="37"/>
      <c r="G54" s="38"/>
      <c r="H54" s="38"/>
      <c r="I54" s="32" t="s">
        <v>177</v>
      </c>
    </row>
    <row r="55" spans="1:10" ht="15.5" x14ac:dyDescent="0.35">
      <c r="A55" s="57"/>
      <c r="B55" s="26" t="s">
        <v>132</v>
      </c>
      <c r="C55" s="26"/>
      <c r="D55" s="26" t="s">
        <v>199</v>
      </c>
      <c r="E55" s="26">
        <v>11</v>
      </c>
      <c r="F55" s="26"/>
      <c r="G55" s="27"/>
      <c r="H55" s="27"/>
      <c r="I55" s="32"/>
    </row>
    <row r="56" spans="1:10" ht="15.5" x14ac:dyDescent="0.35">
      <c r="A56" s="58"/>
      <c r="B56" s="37" t="s">
        <v>132</v>
      </c>
      <c r="C56" s="37"/>
      <c r="D56" s="37" t="s">
        <v>241</v>
      </c>
      <c r="E56" s="37">
        <f>26*47</f>
        <v>1222</v>
      </c>
      <c r="F56" s="37"/>
      <c r="G56" s="37"/>
      <c r="H56" s="37"/>
      <c r="I56" s="32">
        <v>46101</v>
      </c>
      <c r="J56" t="s">
        <v>177</v>
      </c>
    </row>
    <row r="57" spans="1:10" ht="15.5" x14ac:dyDescent="0.35">
      <c r="A57" s="58"/>
      <c r="B57" s="37" t="s">
        <v>132</v>
      </c>
      <c r="C57" s="37"/>
      <c r="D57" s="37" t="s">
        <v>241</v>
      </c>
      <c r="E57" s="37">
        <f>26*35</f>
        <v>910</v>
      </c>
      <c r="F57" s="37"/>
      <c r="G57" s="37"/>
      <c r="H57" s="37"/>
      <c r="I57" s="32">
        <v>46101</v>
      </c>
      <c r="J57" t="s">
        <v>177</v>
      </c>
    </row>
    <row r="58" spans="1:10" ht="15.5" x14ac:dyDescent="0.35">
      <c r="A58" s="58"/>
      <c r="B58" s="37" t="s">
        <v>132</v>
      </c>
      <c r="C58" s="37"/>
      <c r="D58" s="37" t="s">
        <v>242</v>
      </c>
      <c r="E58" s="37">
        <v>50</v>
      </c>
      <c r="F58" s="37"/>
      <c r="G58" s="37"/>
      <c r="H58" s="37"/>
      <c r="I58" s="32">
        <v>46101</v>
      </c>
      <c r="J58" t="s">
        <v>177</v>
      </c>
    </row>
    <row r="59" spans="1:10" ht="15.5" x14ac:dyDescent="0.35">
      <c r="A59" s="58"/>
      <c r="B59" s="37" t="s">
        <v>132</v>
      </c>
      <c r="C59" s="37"/>
      <c r="D59" s="37" t="s">
        <v>243</v>
      </c>
      <c r="E59" s="37">
        <v>72</v>
      </c>
      <c r="F59" s="37"/>
      <c r="G59" s="37"/>
      <c r="H59" s="37"/>
      <c r="I59" s="32">
        <v>46101</v>
      </c>
      <c r="J59" t="s">
        <v>177</v>
      </c>
    </row>
    <row r="60" spans="1:10" ht="15.5" x14ac:dyDescent="0.35">
      <c r="A60" s="58"/>
      <c r="B60" s="37" t="s">
        <v>132</v>
      </c>
      <c r="C60" s="37"/>
      <c r="D60" s="37" t="s">
        <v>242</v>
      </c>
      <c r="E60" s="37">
        <v>50</v>
      </c>
      <c r="F60" s="37"/>
      <c r="G60" s="37"/>
      <c r="H60" s="37"/>
      <c r="I60" s="32">
        <v>46101</v>
      </c>
      <c r="J60" t="s">
        <v>177</v>
      </c>
    </row>
    <row r="61" spans="1:10" ht="15.5" x14ac:dyDescent="0.35">
      <c r="A61" s="58"/>
      <c r="B61" s="37" t="s">
        <v>132</v>
      </c>
      <c r="C61" s="37"/>
      <c r="D61" s="37" t="s">
        <v>244</v>
      </c>
      <c r="E61" s="37">
        <f>30*2</f>
        <v>60</v>
      </c>
      <c r="F61" s="37"/>
      <c r="G61" s="37"/>
      <c r="H61" s="37"/>
      <c r="I61" s="32">
        <v>46101</v>
      </c>
      <c r="J61" t="s">
        <v>177</v>
      </c>
    </row>
    <row r="62" spans="1:10" ht="15.5" x14ac:dyDescent="0.35">
      <c r="A62" s="58"/>
      <c r="B62" s="37" t="s">
        <v>132</v>
      </c>
      <c r="C62" s="37"/>
      <c r="D62" s="37" t="s">
        <v>245</v>
      </c>
      <c r="E62" s="37">
        <v>10</v>
      </c>
      <c r="F62" s="37"/>
      <c r="G62" s="37"/>
      <c r="H62" s="37"/>
      <c r="I62" s="32">
        <v>46101</v>
      </c>
      <c r="J62" t="s">
        <v>177</v>
      </c>
    </row>
    <row r="63" spans="1:10" ht="15.5" x14ac:dyDescent="0.35">
      <c r="A63" s="58"/>
      <c r="B63" s="37" t="s">
        <v>132</v>
      </c>
      <c r="C63" s="37"/>
      <c r="D63" s="37" t="s">
        <v>245</v>
      </c>
      <c r="E63" s="37">
        <v>10</v>
      </c>
      <c r="F63" s="37"/>
      <c r="G63" s="37"/>
      <c r="H63" s="37"/>
      <c r="I63" s="32">
        <v>46101</v>
      </c>
      <c r="J63" t="s">
        <v>177</v>
      </c>
    </row>
    <row r="64" spans="1:10" ht="15.5" x14ac:dyDescent="0.35">
      <c r="A64" s="58"/>
      <c r="B64" s="37" t="s">
        <v>132</v>
      </c>
      <c r="C64" s="37"/>
      <c r="D64" s="37" t="s">
        <v>246</v>
      </c>
      <c r="E64" s="37">
        <v>60</v>
      </c>
      <c r="F64" s="37"/>
      <c r="G64" s="37"/>
      <c r="H64" s="37"/>
      <c r="I64" s="32">
        <v>46101</v>
      </c>
      <c r="J64" t="s">
        <v>177</v>
      </c>
    </row>
    <row r="65" spans="1:10" ht="15.5" x14ac:dyDescent="0.35">
      <c r="A65" s="58"/>
      <c r="B65" s="37" t="s">
        <v>132</v>
      </c>
      <c r="C65" s="37"/>
      <c r="D65" s="37" t="s">
        <v>245</v>
      </c>
      <c r="E65" s="37">
        <v>10</v>
      </c>
      <c r="F65" s="37"/>
      <c r="G65" s="37"/>
      <c r="H65" s="37"/>
      <c r="I65" s="32">
        <v>46101</v>
      </c>
      <c r="J65" t="s">
        <v>177</v>
      </c>
    </row>
    <row r="66" spans="1:10" ht="15.5" x14ac:dyDescent="0.35">
      <c r="A66" s="58"/>
      <c r="B66" s="37" t="s">
        <v>132</v>
      </c>
      <c r="C66" s="37"/>
      <c r="D66" s="37" t="s">
        <v>247</v>
      </c>
      <c r="E66" s="37">
        <f>30*7</f>
        <v>210</v>
      </c>
      <c r="F66" s="37"/>
      <c r="G66" s="37"/>
      <c r="H66" s="37"/>
      <c r="I66" s="32">
        <v>46101</v>
      </c>
      <c r="J66" t="s">
        <v>177</v>
      </c>
    </row>
    <row r="67" spans="1:10" ht="15.5" x14ac:dyDescent="0.35">
      <c r="A67" s="58"/>
      <c r="B67" s="37" t="s">
        <v>132</v>
      </c>
      <c r="C67" s="37"/>
      <c r="D67" s="37" t="s">
        <v>245</v>
      </c>
      <c r="E67" s="37">
        <v>10</v>
      </c>
      <c r="F67" s="37"/>
      <c r="G67" s="37"/>
      <c r="H67" s="37"/>
      <c r="I67" s="32">
        <v>46101</v>
      </c>
      <c r="J67" t="s">
        <v>177</v>
      </c>
    </row>
    <row r="68" spans="1:10" ht="15.5" x14ac:dyDescent="0.35">
      <c r="A68" s="57"/>
      <c r="B68" s="26" t="s">
        <v>132</v>
      </c>
      <c r="C68" s="26"/>
      <c r="D68" s="26" t="s">
        <v>248</v>
      </c>
      <c r="E68" s="26">
        <f>8*3</f>
        <v>24</v>
      </c>
      <c r="F68" s="26"/>
      <c r="G68" s="26"/>
      <c r="H68" s="26"/>
      <c r="I68" s="32">
        <v>46101</v>
      </c>
      <c r="J68" t="s">
        <v>177</v>
      </c>
    </row>
    <row r="69" spans="1:10" ht="15.5" x14ac:dyDescent="0.35">
      <c r="A69" s="57"/>
      <c r="B69" s="26" t="s">
        <v>132</v>
      </c>
      <c r="C69" s="26"/>
      <c r="D69" s="26" t="s">
        <v>249</v>
      </c>
      <c r="E69" s="26">
        <f>2*40</f>
        <v>80</v>
      </c>
      <c r="F69" s="26"/>
      <c r="G69" s="26"/>
      <c r="H69" s="26"/>
      <c r="I69" s="32">
        <v>46101</v>
      </c>
      <c r="J69" t="s">
        <v>177</v>
      </c>
    </row>
    <row r="70" spans="1:10" ht="15.5" x14ac:dyDescent="0.35">
      <c r="A70" s="57"/>
      <c r="B70" s="26" t="s">
        <v>132</v>
      </c>
      <c r="C70" s="26"/>
      <c r="D70" s="26" t="s">
        <v>249</v>
      </c>
      <c r="E70" s="26">
        <v>40</v>
      </c>
      <c r="F70" s="26"/>
      <c r="G70" s="26"/>
      <c r="H70" s="26"/>
      <c r="I70" s="32">
        <v>46101</v>
      </c>
      <c r="J70" t="s">
        <v>177</v>
      </c>
    </row>
    <row r="71" spans="1:10" ht="15.5" x14ac:dyDescent="0.35">
      <c r="A71" s="58"/>
      <c r="B71" s="37" t="s">
        <v>132</v>
      </c>
      <c r="C71" s="37" t="s">
        <v>250</v>
      </c>
      <c r="D71" s="37" t="s">
        <v>251</v>
      </c>
      <c r="E71" s="37"/>
      <c r="F71" s="37"/>
      <c r="G71" s="38"/>
      <c r="H71" s="38"/>
      <c r="I71" s="32">
        <v>46104</v>
      </c>
      <c r="J71" t="s">
        <v>177</v>
      </c>
    </row>
    <row r="72" spans="1:10" ht="15.5" x14ac:dyDescent="0.35">
      <c r="A72" s="57"/>
      <c r="B72" s="26" t="s">
        <v>132</v>
      </c>
      <c r="C72" s="26" t="s">
        <v>252</v>
      </c>
      <c r="D72" s="26" t="s">
        <v>253</v>
      </c>
      <c r="E72" s="26">
        <f>2*300</f>
        <v>600</v>
      </c>
      <c r="F72" s="26"/>
      <c r="G72" s="26"/>
      <c r="H72" s="26"/>
      <c r="I72" s="32">
        <v>46104</v>
      </c>
      <c r="J72" t="s">
        <v>177</v>
      </c>
    </row>
    <row r="73" spans="1:10" ht="15.5" x14ac:dyDescent="0.35">
      <c r="A73" s="58">
        <v>42</v>
      </c>
      <c r="B73" s="37" t="s">
        <v>132</v>
      </c>
      <c r="C73" s="37" t="s">
        <v>254</v>
      </c>
      <c r="D73" s="37" t="s">
        <v>255</v>
      </c>
      <c r="E73" s="37">
        <v>20</v>
      </c>
      <c r="F73" s="37"/>
      <c r="G73" s="37"/>
      <c r="H73" s="37"/>
      <c r="I73" s="32">
        <v>46104</v>
      </c>
      <c r="J73" t="s">
        <v>177</v>
      </c>
    </row>
    <row r="74" spans="1:10" ht="15.5" x14ac:dyDescent="0.35">
      <c r="A74" s="58">
        <v>43</v>
      </c>
      <c r="B74" s="37" t="s">
        <v>132</v>
      </c>
      <c r="C74" s="37" t="s">
        <v>256</v>
      </c>
      <c r="D74" s="37" t="s">
        <v>257</v>
      </c>
      <c r="E74" s="37">
        <v>2</v>
      </c>
      <c r="F74" s="37"/>
      <c r="G74" s="37"/>
      <c r="H74" s="37"/>
      <c r="I74" s="32">
        <v>46104</v>
      </c>
      <c r="J74" t="s">
        <v>177</v>
      </c>
    </row>
    <row r="75" spans="1:10" ht="15.5" x14ac:dyDescent="0.35">
      <c r="A75" s="57"/>
      <c r="B75" s="26" t="s">
        <v>132</v>
      </c>
      <c r="C75" s="26" t="s">
        <v>258</v>
      </c>
      <c r="D75" s="26" t="s">
        <v>259</v>
      </c>
      <c r="E75" s="26">
        <f>2*90</f>
        <v>180</v>
      </c>
      <c r="F75" s="26"/>
      <c r="G75" s="26"/>
      <c r="H75" s="26"/>
      <c r="I75" s="32">
        <v>46104</v>
      </c>
      <c r="J75" t="s">
        <v>177</v>
      </c>
    </row>
    <row r="76" spans="1:10" ht="15.5" x14ac:dyDescent="0.35">
      <c r="A76" s="58"/>
      <c r="B76" s="37" t="s">
        <v>132</v>
      </c>
      <c r="C76" s="37" t="s">
        <v>260</v>
      </c>
      <c r="D76" s="37" t="s">
        <v>261</v>
      </c>
      <c r="E76" s="37">
        <v>400</v>
      </c>
      <c r="F76" s="37"/>
      <c r="G76" s="37"/>
      <c r="H76" s="37"/>
      <c r="I76" s="32">
        <v>46105</v>
      </c>
      <c r="J76" t="s">
        <v>177</v>
      </c>
    </row>
    <row r="77" spans="1:10" ht="15.5" x14ac:dyDescent="0.35">
      <c r="A77" s="58">
        <v>38</v>
      </c>
      <c r="B77" s="37" t="s">
        <v>132</v>
      </c>
      <c r="C77" s="37" t="s">
        <v>262</v>
      </c>
      <c r="D77" s="37" t="s">
        <v>263</v>
      </c>
      <c r="E77" s="37">
        <v>200</v>
      </c>
      <c r="F77" s="37"/>
      <c r="G77" s="37"/>
      <c r="H77" s="37"/>
      <c r="I77" s="32">
        <v>46105</v>
      </c>
      <c r="J77" t="s">
        <v>177</v>
      </c>
    </row>
    <row r="78" spans="1:10" ht="15.5" x14ac:dyDescent="0.35">
      <c r="A78" s="57">
        <v>39</v>
      </c>
      <c r="B78" s="26" t="s">
        <v>132</v>
      </c>
      <c r="C78" s="26" t="s">
        <v>264</v>
      </c>
      <c r="D78" s="26" t="s">
        <v>265</v>
      </c>
      <c r="E78" s="26">
        <v>200</v>
      </c>
      <c r="F78" s="26"/>
      <c r="G78" s="26"/>
      <c r="H78" s="26"/>
      <c r="I78" s="32">
        <v>46106</v>
      </c>
      <c r="J78" t="s">
        <v>177</v>
      </c>
    </row>
    <row r="79" spans="1:10" ht="15.5" x14ac:dyDescent="0.35">
      <c r="A79" s="57">
        <v>39</v>
      </c>
      <c r="B79" s="26" t="s">
        <v>132</v>
      </c>
      <c r="C79" s="26" t="s">
        <v>266</v>
      </c>
      <c r="D79" s="26" t="s">
        <v>265</v>
      </c>
      <c r="E79" s="26">
        <v>200</v>
      </c>
      <c r="F79" s="26"/>
      <c r="G79" s="26"/>
      <c r="H79" s="26"/>
      <c r="I79" s="32">
        <v>46106</v>
      </c>
      <c r="J79" t="s">
        <v>177</v>
      </c>
    </row>
    <row r="80" spans="1:10" ht="15.5" x14ac:dyDescent="0.35">
      <c r="A80" s="60"/>
      <c r="B80" s="34" t="s">
        <v>132</v>
      </c>
      <c r="C80" s="34" t="s">
        <v>267</v>
      </c>
      <c r="D80" s="34" t="s">
        <v>268</v>
      </c>
      <c r="E80" s="34">
        <v>2</v>
      </c>
      <c r="F80" s="34"/>
      <c r="G80" s="34"/>
      <c r="H80" s="34"/>
      <c r="I80" s="32">
        <v>46106</v>
      </c>
      <c r="J80" t="s">
        <v>177</v>
      </c>
    </row>
    <row r="81" spans="1:10" ht="15.5" x14ac:dyDescent="0.35">
      <c r="A81" s="58">
        <v>40</v>
      </c>
      <c r="B81" s="37" t="s">
        <v>132</v>
      </c>
      <c r="C81" s="37" t="s">
        <v>269</v>
      </c>
      <c r="D81" s="37" t="s">
        <v>270</v>
      </c>
      <c r="E81" s="37">
        <v>1</v>
      </c>
      <c r="F81" s="37"/>
      <c r="G81" s="37"/>
      <c r="H81" s="37"/>
      <c r="I81" s="49" t="s">
        <v>271</v>
      </c>
      <c r="J81" t="s">
        <v>177</v>
      </c>
    </row>
    <row r="82" spans="1:10" ht="15.5" x14ac:dyDescent="0.35">
      <c r="A82" s="57">
        <v>41</v>
      </c>
      <c r="B82" s="26" t="s">
        <v>132</v>
      </c>
      <c r="C82" s="26" t="s">
        <v>272</v>
      </c>
      <c r="D82" s="26" t="s">
        <v>273</v>
      </c>
      <c r="E82" s="26">
        <f>15*5</f>
        <v>75</v>
      </c>
      <c r="F82" s="26"/>
      <c r="G82" s="26"/>
      <c r="H82" s="26"/>
      <c r="I82" s="32">
        <v>46111</v>
      </c>
      <c r="J82" t="s">
        <v>177</v>
      </c>
    </row>
    <row r="83" spans="1:10" ht="15.5" x14ac:dyDescent="0.35">
      <c r="A83" s="59">
        <v>44</v>
      </c>
      <c r="B83" s="35" t="s">
        <v>132</v>
      </c>
      <c r="C83" s="35" t="s">
        <v>274</v>
      </c>
      <c r="D83" s="35" t="s">
        <v>275</v>
      </c>
      <c r="E83" s="35">
        <f>1*2</f>
        <v>2</v>
      </c>
      <c r="F83" s="35"/>
      <c r="G83" s="35"/>
      <c r="H83" s="35"/>
      <c r="I83" s="32">
        <v>46112</v>
      </c>
      <c r="J83" t="s">
        <v>177</v>
      </c>
    </row>
    <row r="84" spans="1:10" ht="15.5" x14ac:dyDescent="0.35">
      <c r="A84" s="57">
        <v>47</v>
      </c>
      <c r="B84" s="26" t="s">
        <v>276</v>
      </c>
      <c r="C84" s="26" t="s">
        <v>277</v>
      </c>
      <c r="D84" s="26" t="s">
        <v>278</v>
      </c>
      <c r="E84" s="26">
        <v>91</v>
      </c>
      <c r="F84" s="26"/>
      <c r="G84" s="26"/>
      <c r="H84" s="26"/>
      <c r="I84" s="32">
        <v>46112</v>
      </c>
      <c r="J84" t="s">
        <v>177</v>
      </c>
    </row>
    <row r="85" spans="1:10" ht="15.5" x14ac:dyDescent="0.35">
      <c r="A85" s="58">
        <v>49</v>
      </c>
      <c r="B85" s="37" t="s">
        <v>279</v>
      </c>
      <c r="C85" s="37" t="s">
        <v>280</v>
      </c>
      <c r="D85" s="37" t="s">
        <v>281</v>
      </c>
      <c r="E85" s="37">
        <v>5300</v>
      </c>
      <c r="F85" s="37"/>
      <c r="G85" s="37"/>
      <c r="H85" s="37"/>
      <c r="I85" s="32">
        <v>46112</v>
      </c>
      <c r="J85" t="s">
        <v>177</v>
      </c>
    </row>
    <row r="86" spans="1:10" ht="15.5" x14ac:dyDescent="0.35">
      <c r="A86" s="57">
        <v>48</v>
      </c>
      <c r="B86" s="26" t="s">
        <v>170</v>
      </c>
      <c r="C86" s="26" t="s">
        <v>282</v>
      </c>
      <c r="D86" s="26" t="s">
        <v>283</v>
      </c>
      <c r="E86" s="26">
        <f>5*2</f>
        <v>10</v>
      </c>
      <c r="F86" s="26"/>
      <c r="G86" s="26"/>
      <c r="H86" s="26"/>
      <c r="I86" s="32">
        <v>46111</v>
      </c>
      <c r="J86" t="s">
        <v>177</v>
      </c>
    </row>
    <row r="87" spans="1:10" ht="15.5" x14ac:dyDescent="0.35">
      <c r="A87" s="58">
        <v>51</v>
      </c>
      <c r="B87" s="37" t="s">
        <v>284</v>
      </c>
      <c r="C87" s="37" t="s">
        <v>285</v>
      </c>
      <c r="D87" s="37" t="s">
        <v>286</v>
      </c>
      <c r="E87" s="37">
        <f>2*800</f>
        <v>1600</v>
      </c>
      <c r="F87" s="37"/>
      <c r="G87" s="37"/>
      <c r="H87" s="37"/>
      <c r="I87" s="32">
        <v>46111</v>
      </c>
      <c r="J87" t="s">
        <v>177</v>
      </c>
    </row>
    <row r="88" spans="1:10" ht="15.5" x14ac:dyDescent="0.35">
      <c r="A88" s="58">
        <v>54</v>
      </c>
      <c r="B88" s="37" t="s">
        <v>284</v>
      </c>
      <c r="C88" s="37" t="s">
        <v>287</v>
      </c>
      <c r="D88" s="37" t="s">
        <v>288</v>
      </c>
      <c r="E88" s="37">
        <v>400</v>
      </c>
      <c r="F88" s="37"/>
      <c r="G88" s="37"/>
      <c r="H88" s="37"/>
      <c r="I88" s="32">
        <v>46111</v>
      </c>
      <c r="J88" t="s">
        <v>177</v>
      </c>
    </row>
    <row r="89" spans="1:10" ht="15.5" x14ac:dyDescent="0.35">
      <c r="A89" s="58">
        <v>56</v>
      </c>
      <c r="B89" s="37" t="s">
        <v>284</v>
      </c>
      <c r="C89" s="37" t="s">
        <v>289</v>
      </c>
      <c r="D89" s="37" t="s">
        <v>288</v>
      </c>
      <c r="E89" s="37">
        <v>400</v>
      </c>
      <c r="F89" s="37"/>
      <c r="G89" s="37"/>
      <c r="H89" s="37"/>
      <c r="I89" s="32">
        <v>46111</v>
      </c>
      <c r="J89" t="s">
        <v>177</v>
      </c>
    </row>
    <row r="90" spans="1:10" ht="15.5" x14ac:dyDescent="0.35">
      <c r="A90" s="58">
        <v>58</v>
      </c>
      <c r="B90" s="37" t="s">
        <v>284</v>
      </c>
      <c r="C90" s="37" t="s">
        <v>290</v>
      </c>
      <c r="D90" s="37" t="s">
        <v>291</v>
      </c>
      <c r="E90" s="37">
        <f>6*5</f>
        <v>30</v>
      </c>
      <c r="F90" s="37"/>
      <c r="G90" s="37"/>
      <c r="H90" s="37"/>
      <c r="I90" s="32">
        <v>46111</v>
      </c>
      <c r="J90" t="s">
        <v>177</v>
      </c>
    </row>
    <row r="91" spans="1:10" ht="15.5" x14ac:dyDescent="0.35">
      <c r="A91" s="58">
        <v>59</v>
      </c>
      <c r="B91" s="37" t="s">
        <v>284</v>
      </c>
      <c r="C91" s="37" t="s">
        <v>292</v>
      </c>
      <c r="D91" s="37" t="s">
        <v>286</v>
      </c>
      <c r="E91" s="37">
        <v>800</v>
      </c>
      <c r="F91" s="37"/>
      <c r="G91" s="37"/>
      <c r="H91" s="37"/>
      <c r="I91" s="32">
        <v>46111</v>
      </c>
      <c r="J91" t="s">
        <v>177</v>
      </c>
    </row>
    <row r="92" spans="1:10" ht="15.5" x14ac:dyDescent="0.35">
      <c r="A92" s="58">
        <v>65</v>
      </c>
      <c r="B92" s="37" t="s">
        <v>284</v>
      </c>
      <c r="C92" s="37" t="s">
        <v>293</v>
      </c>
      <c r="D92" s="37" t="s">
        <v>286</v>
      </c>
      <c r="E92" s="37">
        <v>800</v>
      </c>
      <c r="F92" s="37"/>
      <c r="G92" s="37"/>
      <c r="H92" s="37"/>
      <c r="I92" s="32">
        <v>46111</v>
      </c>
      <c r="J92" t="s">
        <v>177</v>
      </c>
    </row>
    <row r="93" spans="1:10" ht="15.5" x14ac:dyDescent="0.35">
      <c r="A93" s="58">
        <v>66</v>
      </c>
      <c r="B93" s="37" t="s">
        <v>284</v>
      </c>
      <c r="C93" s="37" t="s">
        <v>294</v>
      </c>
      <c r="D93" s="37" t="s">
        <v>286</v>
      </c>
      <c r="E93" s="37">
        <v>800</v>
      </c>
      <c r="F93" s="37"/>
      <c r="G93" s="37"/>
      <c r="H93" s="37"/>
      <c r="I93" s="32">
        <v>46111</v>
      </c>
      <c r="J93" t="s">
        <v>177</v>
      </c>
    </row>
    <row r="94" spans="1:10" x14ac:dyDescent="0.35">
      <c r="I94" s="32"/>
    </row>
    <row r="95" spans="1:10" x14ac:dyDescent="0.35">
      <c r="I95" s="32"/>
    </row>
    <row r="96" spans="1:10" x14ac:dyDescent="0.35">
      <c r="I96" s="32"/>
    </row>
    <row r="97" spans="9:9" x14ac:dyDescent="0.35">
      <c r="I97" s="32"/>
    </row>
    <row r="98" spans="9:9" x14ac:dyDescent="0.35">
      <c r="I98" s="32"/>
    </row>
    <row r="99" spans="9:9" x14ac:dyDescent="0.35">
      <c r="I99" s="32"/>
    </row>
    <row r="100" spans="9:9" x14ac:dyDescent="0.35">
      <c r="I100" s="32"/>
    </row>
    <row r="101" spans="9:9" x14ac:dyDescent="0.35">
      <c r="I101" s="32"/>
    </row>
    <row r="102" spans="9:9" x14ac:dyDescent="0.35">
      <c r="I102" s="32"/>
    </row>
    <row r="103" spans="9:9" x14ac:dyDescent="0.35">
      <c r="I103" s="32"/>
    </row>
    <row r="104" spans="9:9" x14ac:dyDescent="0.35">
      <c r="I104" s="32"/>
    </row>
    <row r="105" spans="9:9" x14ac:dyDescent="0.35">
      <c r="I105" s="32"/>
    </row>
    <row r="106" spans="9:9" x14ac:dyDescent="0.35">
      <c r="I106" s="32"/>
    </row>
    <row r="107" spans="9:9" x14ac:dyDescent="0.35">
      <c r="I107" s="32"/>
    </row>
    <row r="108" spans="9:9" x14ac:dyDescent="0.35">
      <c r="I108" s="32"/>
    </row>
    <row r="109" spans="9:9" x14ac:dyDescent="0.35">
      <c r="I109" s="32"/>
    </row>
    <row r="110" spans="9:9" x14ac:dyDescent="0.35">
      <c r="I110" s="32"/>
    </row>
    <row r="111" spans="9:9" x14ac:dyDescent="0.35">
      <c r="I111" s="32"/>
    </row>
    <row r="112" spans="9:9" x14ac:dyDescent="0.35">
      <c r="I112" s="32"/>
    </row>
    <row r="113" spans="9:9" x14ac:dyDescent="0.35">
      <c r="I113" s="32"/>
    </row>
    <row r="114" spans="9:9" x14ac:dyDescent="0.35">
      <c r="I114" s="32"/>
    </row>
    <row r="115" spans="9:9" x14ac:dyDescent="0.35">
      <c r="I115" s="32"/>
    </row>
    <row r="116" spans="9:9" x14ac:dyDescent="0.35">
      <c r="I116" s="32"/>
    </row>
  </sheetData>
  <autoFilter ref="J2:M44" xr:uid="{2317BE19-39A1-41F0-A520-FD106EC12455}"/>
  <mergeCells count="1">
    <mergeCell ref="J1:M1"/>
  </mergeCells>
  <phoneticPr fontId="13" type="noConversion"/>
  <conditionalFormatting sqref="K3:K44">
    <cfRule type="cellIs" dxfId="8" priority="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D303B7-268F-43AC-9805-C4C35A8A3AD9}">
          <x14:formula1>
            <xm:f>'Resumo Contrato Reajustado 2026'!$A$47:$A$89</xm:f>
          </x14:formula1>
          <xm:sqref>F46 F2:F44 F54:F55 F49:F52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0A93-892C-463B-8B01-99764B48E646}">
  <dimension ref="A1:U69"/>
  <sheetViews>
    <sheetView topLeftCell="G49" zoomScaleNormal="100" workbookViewId="0">
      <selection activeCell="L70" sqref="L70"/>
    </sheetView>
  </sheetViews>
  <sheetFormatPr defaultRowHeight="14.5" x14ac:dyDescent="0.35"/>
  <cols>
    <col min="1" max="1" width="11.453125" bestFit="1" customWidth="1"/>
    <col min="2" max="2" width="18.81640625" bestFit="1" customWidth="1"/>
    <col min="3" max="3" width="45.7265625" bestFit="1" customWidth="1"/>
    <col min="4" max="4" width="65.26953125" bestFit="1" customWidth="1"/>
    <col min="5" max="5" width="13.1796875" bestFit="1" customWidth="1"/>
    <col min="6" max="6" width="7.1796875" bestFit="1" customWidth="1"/>
    <col min="7" max="7" width="15.453125" bestFit="1" customWidth="1"/>
    <col min="8" max="8" width="17.54296875" bestFit="1" customWidth="1"/>
    <col min="9" max="9" width="26" bestFit="1" customWidth="1"/>
    <col min="10" max="10" width="6.1796875" bestFit="1" customWidth="1"/>
    <col min="11" max="11" width="22.81640625" bestFit="1" customWidth="1"/>
    <col min="12" max="12" width="20.26953125" bestFit="1" customWidth="1"/>
    <col min="13" max="13" width="8.26953125" bestFit="1" customWidth="1"/>
    <col min="14" max="14" width="13.1796875" bestFit="1" customWidth="1"/>
    <col min="15" max="15" width="20.81640625" bestFit="1" customWidth="1"/>
    <col min="16" max="16" width="19.81640625" bestFit="1" customWidth="1"/>
    <col min="17" max="17" width="17.54296875" bestFit="1" customWidth="1"/>
  </cols>
  <sheetData>
    <row r="1" spans="1:21" ht="17.5" thickBot="1" x14ac:dyDescent="0.45">
      <c r="A1" s="48" t="s">
        <v>93</v>
      </c>
      <c r="B1" s="48" t="s">
        <v>94</v>
      </c>
      <c r="C1" s="48" t="s">
        <v>95</v>
      </c>
      <c r="D1" s="48" t="s">
        <v>96</v>
      </c>
      <c r="E1" s="48" t="s">
        <v>4</v>
      </c>
      <c r="F1" s="48" t="s">
        <v>3</v>
      </c>
      <c r="G1" s="48" t="s">
        <v>97</v>
      </c>
      <c r="H1" s="8" t="s">
        <v>98</v>
      </c>
      <c r="J1" s="69" t="s">
        <v>99</v>
      </c>
      <c r="K1" s="69"/>
      <c r="L1" s="69"/>
      <c r="M1" s="69"/>
    </row>
    <row r="2" spans="1:21" ht="17.5" thickBot="1" x14ac:dyDescent="0.4">
      <c r="A2" s="61" t="s">
        <v>177</v>
      </c>
      <c r="B2" s="37" t="s">
        <v>284</v>
      </c>
      <c r="C2" s="37" t="s">
        <v>295</v>
      </c>
      <c r="D2" s="37" t="s">
        <v>296</v>
      </c>
      <c r="E2" s="37">
        <f>1000*13</f>
        <v>13000</v>
      </c>
      <c r="F2" s="37"/>
      <c r="G2" s="38" t="str">
        <f>IF(F2="","",VLOOKUP(F2,'Resumo Contrato Reajustado 2026'!$A$2:$S$43,18,0))</f>
        <v/>
      </c>
      <c r="H2" s="38" t="str">
        <f>IF(F2="","",E2*G2)</f>
        <v/>
      </c>
      <c r="I2" s="51">
        <v>46118</v>
      </c>
      <c r="J2" s="50" t="s">
        <v>3</v>
      </c>
      <c r="K2" s="5" t="s">
        <v>103</v>
      </c>
      <c r="L2" s="5" t="s">
        <v>104</v>
      </c>
      <c r="M2" s="5" t="s">
        <v>6</v>
      </c>
      <c r="O2" s="9" t="s">
        <v>105</v>
      </c>
      <c r="P2" s="15">
        <f>SUM(H2:H48)</f>
        <v>0</v>
      </c>
    </row>
    <row r="3" spans="1:21" x14ac:dyDescent="0.35">
      <c r="A3" s="37" t="s">
        <v>177</v>
      </c>
      <c r="B3" s="37" t="s">
        <v>284</v>
      </c>
      <c r="C3" s="37" t="s">
        <v>297</v>
      </c>
      <c r="D3" s="37" t="s">
        <v>298</v>
      </c>
      <c r="E3" s="37">
        <v>24</v>
      </c>
      <c r="F3" s="37"/>
      <c r="G3" s="38"/>
      <c r="H3" s="38"/>
      <c r="I3" s="51">
        <v>46118</v>
      </c>
      <c r="J3" s="1">
        <v>1</v>
      </c>
      <c r="K3" s="1">
        <f t="shared" ref="K3:K27" si="0">SUMIF($F$2:$F$48,J3,$E$2:$E$48)</f>
        <v>0</v>
      </c>
      <c r="L3" s="1">
        <v>5</v>
      </c>
      <c r="M3" s="1">
        <f>L3-K3</f>
        <v>5</v>
      </c>
    </row>
    <row r="4" spans="1:21" x14ac:dyDescent="0.35">
      <c r="A4" s="37" t="s">
        <v>177</v>
      </c>
      <c r="B4" s="37" t="s">
        <v>284</v>
      </c>
      <c r="C4" s="37" t="s">
        <v>299</v>
      </c>
      <c r="D4" s="37" t="s">
        <v>298</v>
      </c>
      <c r="E4" s="37">
        <v>24</v>
      </c>
      <c r="F4" s="37"/>
      <c r="G4" s="38"/>
      <c r="H4" s="38"/>
      <c r="I4" s="51">
        <v>46118</v>
      </c>
      <c r="J4" s="1">
        <v>2</v>
      </c>
      <c r="K4" s="1">
        <f t="shared" si="0"/>
        <v>0</v>
      </c>
      <c r="L4" s="1">
        <v>5</v>
      </c>
      <c r="M4" s="1">
        <f t="shared" ref="M4:M46" si="1">L4-K4</f>
        <v>5</v>
      </c>
    </row>
    <row r="5" spans="1:21" x14ac:dyDescent="0.35">
      <c r="A5" s="37" t="s">
        <v>177</v>
      </c>
      <c r="B5" s="37" t="s">
        <v>284</v>
      </c>
      <c r="C5" s="37" t="s">
        <v>300</v>
      </c>
      <c r="D5" s="37" t="s">
        <v>298</v>
      </c>
      <c r="E5" s="37">
        <v>24</v>
      </c>
      <c r="F5" s="37"/>
      <c r="G5" s="38"/>
      <c r="H5" s="38"/>
      <c r="I5" s="51">
        <v>46118</v>
      </c>
      <c r="J5" s="1">
        <v>3</v>
      </c>
      <c r="K5" s="1">
        <f t="shared" si="0"/>
        <v>0</v>
      </c>
      <c r="L5" s="1">
        <v>5</v>
      </c>
      <c r="M5" s="1">
        <f t="shared" si="1"/>
        <v>5</v>
      </c>
    </row>
    <row r="6" spans="1:21" x14ac:dyDescent="0.35">
      <c r="A6" s="37" t="s">
        <v>177</v>
      </c>
      <c r="B6" s="37" t="s">
        <v>284</v>
      </c>
      <c r="C6" s="37" t="s">
        <v>301</v>
      </c>
      <c r="D6" s="37" t="s">
        <v>298</v>
      </c>
      <c r="E6" s="37">
        <v>24</v>
      </c>
      <c r="F6" s="37"/>
      <c r="G6" s="38"/>
      <c r="H6" s="38"/>
      <c r="I6" s="51">
        <v>46118</v>
      </c>
      <c r="J6" s="1">
        <v>4</v>
      </c>
      <c r="K6" s="1">
        <f t="shared" si="0"/>
        <v>0</v>
      </c>
      <c r="L6" s="1">
        <v>200</v>
      </c>
      <c r="M6" s="1">
        <f t="shared" si="1"/>
        <v>200</v>
      </c>
    </row>
    <row r="7" spans="1:21" x14ac:dyDescent="0.35">
      <c r="A7" s="37" t="s">
        <v>177</v>
      </c>
      <c r="B7" s="37" t="s">
        <v>284</v>
      </c>
      <c r="C7" s="37" t="s">
        <v>302</v>
      </c>
      <c r="D7" s="37" t="s">
        <v>298</v>
      </c>
      <c r="E7" s="37">
        <v>24</v>
      </c>
      <c r="F7" s="37"/>
      <c r="G7" s="38"/>
      <c r="H7" s="38"/>
      <c r="I7" s="51">
        <v>46118</v>
      </c>
      <c r="J7" s="1">
        <v>5</v>
      </c>
      <c r="K7" s="1">
        <f t="shared" si="0"/>
        <v>0</v>
      </c>
      <c r="L7" s="1">
        <v>200</v>
      </c>
      <c r="M7" s="1">
        <f t="shared" si="1"/>
        <v>200</v>
      </c>
      <c r="U7" t="s">
        <v>117</v>
      </c>
    </row>
    <row r="8" spans="1:21" x14ac:dyDescent="0.35">
      <c r="A8" s="37" t="s">
        <v>177</v>
      </c>
      <c r="B8" s="37" t="s">
        <v>284</v>
      </c>
      <c r="C8" s="37" t="s">
        <v>303</v>
      </c>
      <c r="D8" s="37" t="s">
        <v>298</v>
      </c>
      <c r="E8" s="37">
        <v>24</v>
      </c>
      <c r="F8" s="37"/>
      <c r="G8" s="38"/>
      <c r="H8" s="38"/>
      <c r="I8" s="51">
        <v>46118</v>
      </c>
      <c r="J8" s="1">
        <v>6</v>
      </c>
      <c r="K8" s="1">
        <f t="shared" si="0"/>
        <v>0</v>
      </c>
      <c r="L8" s="1">
        <v>300</v>
      </c>
      <c r="M8" s="1">
        <f t="shared" si="1"/>
        <v>300</v>
      </c>
    </row>
    <row r="9" spans="1:21" x14ac:dyDescent="0.35">
      <c r="A9" s="37" t="s">
        <v>177</v>
      </c>
      <c r="B9" s="37" t="s">
        <v>284</v>
      </c>
      <c r="C9" s="37" t="s">
        <v>304</v>
      </c>
      <c r="D9" s="37" t="s">
        <v>305</v>
      </c>
      <c r="E9" s="37">
        <v>4</v>
      </c>
      <c r="F9" s="37"/>
      <c r="G9" s="38"/>
      <c r="H9" s="38"/>
      <c r="I9" s="51">
        <v>46118</v>
      </c>
      <c r="J9" s="1">
        <v>7</v>
      </c>
      <c r="K9" s="1">
        <f t="shared" si="0"/>
        <v>0</v>
      </c>
      <c r="L9" s="1">
        <v>100</v>
      </c>
      <c r="M9" s="1">
        <f t="shared" si="1"/>
        <v>100</v>
      </c>
    </row>
    <row r="10" spans="1:21" x14ac:dyDescent="0.35">
      <c r="A10" s="37" t="s">
        <v>177</v>
      </c>
      <c r="B10" s="37" t="s">
        <v>284</v>
      </c>
      <c r="C10" s="37" t="s">
        <v>306</v>
      </c>
      <c r="D10" s="37" t="s">
        <v>307</v>
      </c>
      <c r="E10" s="37">
        <v>24</v>
      </c>
      <c r="F10" s="37"/>
      <c r="G10" s="38"/>
      <c r="H10" s="38"/>
      <c r="I10" s="51">
        <v>46118</v>
      </c>
      <c r="J10" s="1">
        <v>8</v>
      </c>
      <c r="K10" s="1">
        <f t="shared" si="0"/>
        <v>0</v>
      </c>
      <c r="L10" s="1">
        <v>5</v>
      </c>
      <c r="M10" s="1">
        <f t="shared" si="1"/>
        <v>5</v>
      </c>
    </row>
    <row r="11" spans="1:21" x14ac:dyDescent="0.35">
      <c r="A11" s="37" t="s">
        <v>177</v>
      </c>
      <c r="B11" s="37" t="s">
        <v>284</v>
      </c>
      <c r="C11" s="37" t="s">
        <v>308</v>
      </c>
      <c r="D11" s="37" t="s">
        <v>309</v>
      </c>
      <c r="E11" s="37">
        <v>130</v>
      </c>
      <c r="F11" s="37"/>
      <c r="G11" s="38"/>
      <c r="H11" s="38"/>
      <c r="I11" s="51">
        <v>46118</v>
      </c>
      <c r="J11" s="1">
        <v>9</v>
      </c>
      <c r="K11" s="1">
        <f t="shared" si="0"/>
        <v>0</v>
      </c>
      <c r="L11" s="1">
        <v>200</v>
      </c>
      <c r="M11" s="1">
        <f t="shared" si="1"/>
        <v>200</v>
      </c>
    </row>
    <row r="12" spans="1:21" x14ac:dyDescent="0.35">
      <c r="A12" s="37" t="s">
        <v>177</v>
      </c>
      <c r="B12" s="37" t="s">
        <v>284</v>
      </c>
      <c r="C12" s="37" t="s">
        <v>310</v>
      </c>
      <c r="D12" s="37" t="s">
        <v>311</v>
      </c>
      <c r="E12" s="37">
        <v>300</v>
      </c>
      <c r="F12" s="37"/>
      <c r="G12" s="38"/>
      <c r="H12" s="38"/>
      <c r="I12" s="51">
        <v>46118</v>
      </c>
      <c r="J12" s="1">
        <v>10</v>
      </c>
      <c r="K12" s="1">
        <f t="shared" si="0"/>
        <v>0</v>
      </c>
      <c r="L12" s="1">
        <v>200</v>
      </c>
      <c r="M12" s="1">
        <f t="shared" si="1"/>
        <v>200</v>
      </c>
    </row>
    <row r="13" spans="1:21" x14ac:dyDescent="0.35">
      <c r="A13" s="37" t="s">
        <v>177</v>
      </c>
      <c r="B13" s="37" t="s">
        <v>284</v>
      </c>
      <c r="C13" s="37" t="s">
        <v>312</v>
      </c>
      <c r="D13" s="37" t="s">
        <v>313</v>
      </c>
      <c r="E13" s="37">
        <f>800*4</f>
        <v>3200</v>
      </c>
      <c r="F13" s="37"/>
      <c r="G13" s="38"/>
      <c r="H13" s="38"/>
      <c r="I13" s="51">
        <v>46118</v>
      </c>
      <c r="J13" s="1">
        <v>11</v>
      </c>
      <c r="K13" s="1">
        <f t="shared" si="0"/>
        <v>0</v>
      </c>
      <c r="L13" s="1">
        <v>200</v>
      </c>
      <c r="M13" s="1">
        <f t="shared" si="1"/>
        <v>200</v>
      </c>
    </row>
    <row r="14" spans="1:21" x14ac:dyDescent="0.35">
      <c r="A14" s="37" t="s">
        <v>177</v>
      </c>
      <c r="B14" s="37" t="s">
        <v>284</v>
      </c>
      <c r="C14" s="37" t="s">
        <v>314</v>
      </c>
      <c r="D14" s="37" t="s">
        <v>315</v>
      </c>
      <c r="E14" s="37">
        <v>130</v>
      </c>
      <c r="F14" s="37"/>
      <c r="G14" s="38"/>
      <c r="H14" s="38"/>
      <c r="I14" s="51">
        <v>46118</v>
      </c>
      <c r="J14" s="1">
        <v>12</v>
      </c>
      <c r="K14" s="1">
        <f t="shared" si="0"/>
        <v>0</v>
      </c>
      <c r="L14" s="1">
        <v>100</v>
      </c>
      <c r="M14" s="1">
        <f t="shared" si="1"/>
        <v>100</v>
      </c>
    </row>
    <row r="15" spans="1:21" x14ac:dyDescent="0.35">
      <c r="A15" s="37" t="s">
        <v>177</v>
      </c>
      <c r="B15" s="37" t="s">
        <v>284</v>
      </c>
      <c r="C15" s="37" t="s">
        <v>316</v>
      </c>
      <c r="D15" s="37" t="s">
        <v>317</v>
      </c>
      <c r="E15" s="37">
        <v>130</v>
      </c>
      <c r="F15" s="37"/>
      <c r="G15" s="38"/>
      <c r="H15" s="38"/>
      <c r="I15" s="51">
        <v>46118</v>
      </c>
      <c r="J15" s="1">
        <v>13</v>
      </c>
      <c r="K15" s="1">
        <f t="shared" si="0"/>
        <v>0</v>
      </c>
      <c r="L15" s="1">
        <v>200</v>
      </c>
      <c r="M15" s="1">
        <f t="shared" si="1"/>
        <v>200</v>
      </c>
    </row>
    <row r="16" spans="1:21" x14ac:dyDescent="0.35">
      <c r="A16" s="37" t="s">
        <v>177</v>
      </c>
      <c r="B16" s="37" t="s">
        <v>284</v>
      </c>
      <c r="C16" s="37" t="s">
        <v>318</v>
      </c>
      <c r="D16" s="37" t="s">
        <v>319</v>
      </c>
      <c r="E16" s="37">
        <v>800</v>
      </c>
      <c r="F16" s="37"/>
      <c r="G16" s="38"/>
      <c r="H16" s="38"/>
      <c r="I16" s="51">
        <v>46118</v>
      </c>
      <c r="J16" s="1">
        <v>14</v>
      </c>
      <c r="K16" s="1">
        <f t="shared" si="0"/>
        <v>0</v>
      </c>
      <c r="L16" s="1">
        <v>200</v>
      </c>
      <c r="M16" s="1">
        <f t="shared" si="1"/>
        <v>200</v>
      </c>
      <c r="P16" s="25"/>
    </row>
    <row r="17" spans="1:15" x14ac:dyDescent="0.35">
      <c r="A17" s="37" t="s">
        <v>177</v>
      </c>
      <c r="B17" s="37" t="s">
        <v>284</v>
      </c>
      <c r="C17" s="37" t="s">
        <v>320</v>
      </c>
      <c r="D17" s="37" t="s">
        <v>321</v>
      </c>
      <c r="E17" s="37">
        <f>800*2</f>
        <v>1600</v>
      </c>
      <c r="F17" s="37"/>
      <c r="G17" s="38"/>
      <c r="H17" s="38"/>
      <c r="I17" s="51">
        <v>46118</v>
      </c>
      <c r="J17" s="1">
        <v>15</v>
      </c>
      <c r="K17" s="1">
        <f t="shared" si="0"/>
        <v>0</v>
      </c>
      <c r="L17" s="1">
        <v>300</v>
      </c>
      <c r="M17" s="1">
        <f t="shared" si="1"/>
        <v>300</v>
      </c>
    </row>
    <row r="18" spans="1:15" x14ac:dyDescent="0.35">
      <c r="A18" s="37" t="s">
        <v>177</v>
      </c>
      <c r="B18" s="37" t="s">
        <v>284</v>
      </c>
      <c r="C18" s="37" t="s">
        <v>322</v>
      </c>
      <c r="D18" s="37" t="s">
        <v>323</v>
      </c>
      <c r="E18" s="37">
        <v>130</v>
      </c>
      <c r="F18" s="37"/>
      <c r="G18" s="38"/>
      <c r="H18" s="38"/>
      <c r="I18" s="51">
        <v>46118</v>
      </c>
      <c r="J18" s="1">
        <v>16</v>
      </c>
      <c r="K18" s="1">
        <f t="shared" si="0"/>
        <v>0</v>
      </c>
      <c r="L18" s="1">
        <v>200</v>
      </c>
      <c r="M18" s="1">
        <f t="shared" si="1"/>
        <v>200</v>
      </c>
    </row>
    <row r="19" spans="1:15" x14ac:dyDescent="0.35">
      <c r="A19" s="37" t="s">
        <v>177</v>
      </c>
      <c r="B19" s="37" t="s">
        <v>284</v>
      </c>
      <c r="C19" s="37" t="s">
        <v>324</v>
      </c>
      <c r="D19" s="37" t="s">
        <v>325</v>
      </c>
      <c r="E19" s="37">
        <v>103</v>
      </c>
      <c r="F19" s="37"/>
      <c r="G19" s="38"/>
      <c r="H19" s="38"/>
      <c r="I19" s="51">
        <v>46118</v>
      </c>
      <c r="J19" s="1">
        <v>17</v>
      </c>
      <c r="K19" s="1">
        <f t="shared" si="0"/>
        <v>0</v>
      </c>
      <c r="L19" s="1">
        <v>200</v>
      </c>
      <c r="M19" s="1">
        <f t="shared" si="1"/>
        <v>200</v>
      </c>
      <c r="O19" s="25"/>
    </row>
    <row r="20" spans="1:15" x14ac:dyDescent="0.35">
      <c r="A20" s="26" t="s">
        <v>177</v>
      </c>
      <c r="B20" s="26" t="s">
        <v>284</v>
      </c>
      <c r="C20" s="26" t="s">
        <v>326</v>
      </c>
      <c r="D20" s="26" t="s">
        <v>327</v>
      </c>
      <c r="E20" s="26">
        <v>103</v>
      </c>
      <c r="F20" s="26"/>
      <c r="G20" s="26"/>
      <c r="H20" s="26"/>
      <c r="I20" s="53">
        <v>46118</v>
      </c>
      <c r="J20" s="1">
        <v>18</v>
      </c>
      <c r="K20" s="1">
        <f t="shared" si="0"/>
        <v>0</v>
      </c>
      <c r="L20" s="1">
        <v>500</v>
      </c>
      <c r="M20" s="1">
        <f t="shared" si="1"/>
        <v>500</v>
      </c>
    </row>
    <row r="21" spans="1:15" x14ac:dyDescent="0.35">
      <c r="A21" s="26" t="s">
        <v>177</v>
      </c>
      <c r="B21" s="26" t="s">
        <v>284</v>
      </c>
      <c r="C21" s="26" t="s">
        <v>316</v>
      </c>
      <c r="D21" s="26" t="s">
        <v>328</v>
      </c>
      <c r="E21" s="26">
        <v>20</v>
      </c>
      <c r="F21" s="26"/>
      <c r="G21" s="26"/>
      <c r="H21" s="26"/>
      <c r="I21" s="53">
        <v>46118</v>
      </c>
      <c r="J21" s="1">
        <v>19</v>
      </c>
      <c r="K21" s="1">
        <f t="shared" si="0"/>
        <v>0</v>
      </c>
      <c r="L21" s="1">
        <v>80000</v>
      </c>
      <c r="M21" s="1">
        <f t="shared" si="1"/>
        <v>80000</v>
      </c>
    </row>
    <row r="22" spans="1:15" x14ac:dyDescent="0.35">
      <c r="A22" s="26" t="s">
        <v>177</v>
      </c>
      <c r="B22" s="26" t="s">
        <v>284</v>
      </c>
      <c r="C22" s="26" t="s">
        <v>329</v>
      </c>
      <c r="D22" s="26" t="s">
        <v>330</v>
      </c>
      <c r="E22" s="26">
        <v>103</v>
      </c>
      <c r="F22" s="26"/>
      <c r="G22" s="26"/>
      <c r="H22" s="26"/>
      <c r="I22" s="53">
        <v>46118</v>
      </c>
      <c r="J22" s="1">
        <v>20</v>
      </c>
      <c r="K22" s="1">
        <f t="shared" si="0"/>
        <v>0</v>
      </c>
      <c r="L22" s="1">
        <v>500</v>
      </c>
      <c r="M22" s="1">
        <f t="shared" si="1"/>
        <v>500</v>
      </c>
    </row>
    <row r="23" spans="1:15" x14ac:dyDescent="0.35">
      <c r="A23" s="26" t="s">
        <v>177</v>
      </c>
      <c r="B23" s="26" t="s">
        <v>284</v>
      </c>
      <c r="C23" s="26" t="s">
        <v>331</v>
      </c>
      <c r="D23" s="26" t="s">
        <v>319</v>
      </c>
      <c r="E23" s="26">
        <v>800</v>
      </c>
      <c r="F23" s="26"/>
      <c r="G23" s="26"/>
      <c r="H23" s="26"/>
      <c r="I23" s="53">
        <v>46118</v>
      </c>
      <c r="J23" s="1">
        <v>21</v>
      </c>
      <c r="K23" s="1">
        <f t="shared" si="0"/>
        <v>0</v>
      </c>
      <c r="L23" s="1">
        <v>50000</v>
      </c>
      <c r="M23" s="1">
        <f t="shared" si="1"/>
        <v>50000</v>
      </c>
    </row>
    <row r="24" spans="1:15" x14ac:dyDescent="0.35">
      <c r="A24" s="26" t="s">
        <v>177</v>
      </c>
      <c r="B24" s="26" t="s">
        <v>284</v>
      </c>
      <c r="C24" s="26" t="s">
        <v>306</v>
      </c>
      <c r="D24" s="26" t="s">
        <v>332</v>
      </c>
      <c r="E24" s="26">
        <v>76</v>
      </c>
      <c r="F24" s="26"/>
      <c r="G24" s="26"/>
      <c r="H24" s="26"/>
      <c r="I24" s="53">
        <v>46118</v>
      </c>
      <c r="J24" s="1">
        <v>22</v>
      </c>
      <c r="K24" s="1">
        <f t="shared" si="0"/>
        <v>0</v>
      </c>
      <c r="L24" s="1">
        <v>500</v>
      </c>
      <c r="M24" s="1">
        <f t="shared" si="1"/>
        <v>500</v>
      </c>
    </row>
    <row r="25" spans="1:15" x14ac:dyDescent="0.35">
      <c r="A25" s="26" t="s">
        <v>177</v>
      </c>
      <c r="B25" s="26" t="s">
        <v>284</v>
      </c>
      <c r="C25" s="26" t="s">
        <v>333</v>
      </c>
      <c r="D25" s="26" t="s">
        <v>334</v>
      </c>
      <c r="E25" s="26">
        <v>250</v>
      </c>
      <c r="F25" s="26"/>
      <c r="G25" s="26"/>
      <c r="H25" s="26"/>
      <c r="I25" s="53">
        <v>46118</v>
      </c>
      <c r="J25" s="1">
        <v>23</v>
      </c>
      <c r="K25" s="1">
        <f t="shared" si="0"/>
        <v>0</v>
      </c>
      <c r="L25" s="1">
        <v>80000</v>
      </c>
      <c r="M25" s="1">
        <f t="shared" si="1"/>
        <v>80000</v>
      </c>
    </row>
    <row r="26" spans="1:15" x14ac:dyDescent="0.35">
      <c r="A26" s="26" t="s">
        <v>177</v>
      </c>
      <c r="B26" s="26" t="s">
        <v>284</v>
      </c>
      <c r="C26" s="26" t="s">
        <v>335</v>
      </c>
      <c r="D26" s="26" t="s">
        <v>336</v>
      </c>
      <c r="E26" s="26">
        <v>130</v>
      </c>
      <c r="F26" s="26"/>
      <c r="G26" s="26"/>
      <c r="H26" s="26"/>
      <c r="I26" s="53">
        <v>46118</v>
      </c>
      <c r="J26" s="1">
        <v>24</v>
      </c>
      <c r="K26" s="1">
        <f t="shared" si="0"/>
        <v>0</v>
      </c>
      <c r="L26" s="1">
        <v>500</v>
      </c>
      <c r="M26" s="1">
        <f t="shared" si="1"/>
        <v>500</v>
      </c>
    </row>
    <row r="27" spans="1:15" x14ac:dyDescent="0.35">
      <c r="A27" s="26" t="s">
        <v>177</v>
      </c>
      <c r="B27" s="26" t="s">
        <v>284</v>
      </c>
      <c r="C27" s="26" t="s">
        <v>337</v>
      </c>
      <c r="D27" s="26" t="s">
        <v>338</v>
      </c>
      <c r="E27" s="26">
        <v>103</v>
      </c>
      <c r="F27" s="26"/>
      <c r="G27" s="26"/>
      <c r="H27" s="26"/>
      <c r="I27" s="53">
        <v>46118</v>
      </c>
      <c r="J27" s="1">
        <v>25</v>
      </c>
      <c r="K27" s="1">
        <f t="shared" si="0"/>
        <v>0</v>
      </c>
      <c r="L27" s="1">
        <v>50000</v>
      </c>
      <c r="M27" s="1">
        <f t="shared" si="1"/>
        <v>50000</v>
      </c>
    </row>
    <row r="28" spans="1:15" x14ac:dyDescent="0.35">
      <c r="A28" s="26" t="s">
        <v>177</v>
      </c>
      <c r="B28" s="26" t="s">
        <v>284</v>
      </c>
      <c r="C28" s="26" t="s">
        <v>339</v>
      </c>
      <c r="D28" s="26" t="s">
        <v>340</v>
      </c>
      <c r="E28" s="26">
        <v>103</v>
      </c>
      <c r="F28" s="26"/>
      <c r="G28" s="26"/>
      <c r="H28" s="26"/>
      <c r="I28" s="53">
        <v>46118</v>
      </c>
      <c r="J28" s="1"/>
      <c r="K28" s="1">
        <f>SUMIF($F$2:$F$48,#REF!,$E$2:$E$48)</f>
        <v>0</v>
      </c>
      <c r="L28" s="1">
        <v>300</v>
      </c>
      <c r="M28" s="1">
        <f t="shared" si="1"/>
        <v>300</v>
      </c>
    </row>
    <row r="29" spans="1:15" x14ac:dyDescent="0.35">
      <c r="A29" s="26" t="s">
        <v>177</v>
      </c>
      <c r="B29" s="26" t="s">
        <v>284</v>
      </c>
      <c r="C29" s="26" t="s">
        <v>341</v>
      </c>
      <c r="D29" s="26" t="s">
        <v>342</v>
      </c>
      <c r="E29" s="26">
        <v>250</v>
      </c>
      <c r="F29" s="26"/>
      <c r="G29" s="26"/>
      <c r="H29" s="26"/>
      <c r="I29" s="53">
        <v>46118</v>
      </c>
      <c r="J29" s="1">
        <v>27</v>
      </c>
      <c r="K29" s="1">
        <f t="shared" ref="K29:K41" si="2">SUMIF($F$2:$F$48,J29,$E$2:$E$48)</f>
        <v>0</v>
      </c>
      <c r="L29" s="1">
        <v>300</v>
      </c>
      <c r="M29" s="1">
        <f t="shared" si="1"/>
        <v>300</v>
      </c>
    </row>
    <row r="30" spans="1:15" x14ac:dyDescent="0.35">
      <c r="A30" s="26" t="s">
        <v>177</v>
      </c>
      <c r="B30" s="26" t="s">
        <v>284</v>
      </c>
      <c r="C30" s="26" t="s">
        <v>343</v>
      </c>
      <c r="D30" s="26" t="s">
        <v>344</v>
      </c>
      <c r="E30" s="26">
        <v>750</v>
      </c>
      <c r="F30" s="26"/>
      <c r="G30" s="26"/>
      <c r="H30" s="26"/>
      <c r="I30" s="53">
        <v>46118</v>
      </c>
      <c r="J30" s="1">
        <v>28</v>
      </c>
      <c r="K30" s="1">
        <f t="shared" si="2"/>
        <v>0</v>
      </c>
      <c r="L30" s="1">
        <v>300</v>
      </c>
      <c r="M30" s="1">
        <f t="shared" si="1"/>
        <v>300</v>
      </c>
    </row>
    <row r="31" spans="1:15" x14ac:dyDescent="0.35">
      <c r="A31" s="26" t="s">
        <v>177</v>
      </c>
      <c r="B31" s="63" t="s">
        <v>284</v>
      </c>
      <c r="C31" s="63" t="s">
        <v>345</v>
      </c>
      <c r="D31" s="63" t="s">
        <v>313</v>
      </c>
      <c r="E31" s="63">
        <v>800</v>
      </c>
      <c r="F31" s="26"/>
      <c r="G31" s="26"/>
      <c r="H31" s="26"/>
      <c r="I31" s="53">
        <v>46118</v>
      </c>
      <c r="J31" s="1">
        <v>29</v>
      </c>
      <c r="K31" s="1">
        <f t="shared" si="2"/>
        <v>0</v>
      </c>
      <c r="L31" s="1">
        <v>300</v>
      </c>
      <c r="M31" s="1">
        <f t="shared" si="1"/>
        <v>300</v>
      </c>
    </row>
    <row r="32" spans="1:15" ht="15" customHeight="1" x14ac:dyDescent="0.35">
      <c r="A32" s="37" t="s">
        <v>177</v>
      </c>
      <c r="B32" s="37" t="s">
        <v>276</v>
      </c>
      <c r="C32" s="37" t="s">
        <v>346</v>
      </c>
      <c r="D32" s="37" t="s">
        <v>347</v>
      </c>
      <c r="E32" s="37">
        <f>2*300</f>
        <v>600</v>
      </c>
      <c r="F32" s="37"/>
      <c r="G32" s="38"/>
      <c r="H32" s="38"/>
      <c r="I32" s="51">
        <v>46112</v>
      </c>
      <c r="J32" s="1">
        <v>30</v>
      </c>
      <c r="K32" s="1">
        <f t="shared" si="2"/>
        <v>0</v>
      </c>
      <c r="L32" s="1">
        <v>300</v>
      </c>
      <c r="M32" s="1">
        <f t="shared" si="1"/>
        <v>300</v>
      </c>
    </row>
    <row r="33" spans="1:18" ht="15" customHeight="1" x14ac:dyDescent="0.35">
      <c r="A33" s="26" t="s">
        <v>177</v>
      </c>
      <c r="B33" s="26" t="s">
        <v>348</v>
      </c>
      <c r="C33" s="26" t="s">
        <v>349</v>
      </c>
      <c r="D33" s="26" t="s">
        <v>350</v>
      </c>
      <c r="E33" s="26">
        <v>179</v>
      </c>
      <c r="F33" s="26"/>
      <c r="G33" s="27"/>
      <c r="H33" s="27"/>
      <c r="I33" s="53">
        <v>46113</v>
      </c>
      <c r="J33" s="1">
        <v>31</v>
      </c>
      <c r="K33" s="1">
        <f t="shared" si="2"/>
        <v>0</v>
      </c>
      <c r="L33" s="1">
        <v>300</v>
      </c>
      <c r="M33" s="1">
        <f t="shared" si="1"/>
        <v>300</v>
      </c>
    </row>
    <row r="34" spans="1:18" ht="15" customHeight="1" x14ac:dyDescent="0.35">
      <c r="A34" s="37" t="s">
        <v>177</v>
      </c>
      <c r="B34" s="37" t="s">
        <v>276</v>
      </c>
      <c r="C34" s="37" t="s">
        <v>351</v>
      </c>
      <c r="D34" s="37" t="s">
        <v>352</v>
      </c>
      <c r="E34" s="37">
        <v>1520</v>
      </c>
      <c r="F34" s="37"/>
      <c r="G34" s="37"/>
      <c r="H34" s="37"/>
      <c r="I34" s="51">
        <v>46114</v>
      </c>
      <c r="J34" s="1">
        <v>32</v>
      </c>
      <c r="K34" s="1">
        <f t="shared" si="2"/>
        <v>0</v>
      </c>
      <c r="L34" s="1">
        <v>300</v>
      </c>
      <c r="M34" s="1">
        <f t="shared" si="1"/>
        <v>300</v>
      </c>
      <c r="R34">
        <f>P34-Q34</f>
        <v>0</v>
      </c>
    </row>
    <row r="35" spans="1:18" ht="15" customHeight="1" x14ac:dyDescent="0.35">
      <c r="A35" s="34"/>
      <c r="B35" s="34" t="s">
        <v>173</v>
      </c>
      <c r="C35" s="34" t="s">
        <v>353</v>
      </c>
      <c r="D35" s="34" t="s">
        <v>354</v>
      </c>
      <c r="E35" s="34">
        <v>1</v>
      </c>
      <c r="F35" s="34"/>
      <c r="G35" s="68"/>
      <c r="H35" s="68"/>
      <c r="I35" s="67">
        <v>46114</v>
      </c>
      <c r="J35" s="1">
        <v>33</v>
      </c>
      <c r="K35" s="1">
        <f t="shared" si="2"/>
        <v>0</v>
      </c>
      <c r="L35" s="1">
        <v>200</v>
      </c>
      <c r="M35" s="1">
        <f t="shared" si="1"/>
        <v>200</v>
      </c>
    </row>
    <row r="36" spans="1:18" ht="15" customHeight="1" x14ac:dyDescent="0.35">
      <c r="A36" s="37" t="s">
        <v>177</v>
      </c>
      <c r="B36" s="37" t="s">
        <v>355</v>
      </c>
      <c r="C36" s="37" t="s">
        <v>356</v>
      </c>
      <c r="D36" s="37" t="s">
        <v>357</v>
      </c>
      <c r="E36" s="37">
        <v>7</v>
      </c>
      <c r="F36" s="37"/>
      <c r="G36" s="38"/>
      <c r="H36" s="38"/>
      <c r="I36" s="64">
        <v>46114</v>
      </c>
      <c r="J36" s="1">
        <v>34</v>
      </c>
      <c r="K36" s="1">
        <f t="shared" si="2"/>
        <v>0</v>
      </c>
      <c r="L36" s="1">
        <v>200</v>
      </c>
      <c r="M36" s="1">
        <f t="shared" si="1"/>
        <v>200</v>
      </c>
      <c r="R36">
        <f>P36-Q36</f>
        <v>0</v>
      </c>
    </row>
    <row r="37" spans="1:18" x14ac:dyDescent="0.35">
      <c r="A37" s="26" t="s">
        <v>177</v>
      </c>
      <c r="B37" s="26" t="s">
        <v>170</v>
      </c>
      <c r="C37" s="26" t="s">
        <v>358</v>
      </c>
      <c r="D37" s="26" t="s">
        <v>359</v>
      </c>
      <c r="E37" s="26">
        <v>11</v>
      </c>
      <c r="F37" s="26"/>
      <c r="G37" s="27"/>
      <c r="H37" s="27"/>
      <c r="I37" s="53">
        <v>46122</v>
      </c>
      <c r="J37" s="1">
        <v>35</v>
      </c>
      <c r="K37" s="1">
        <f t="shared" si="2"/>
        <v>0</v>
      </c>
      <c r="L37" s="1">
        <v>200</v>
      </c>
      <c r="M37" s="1">
        <f t="shared" si="1"/>
        <v>200</v>
      </c>
      <c r="R37">
        <f>P37-Q37</f>
        <v>0</v>
      </c>
    </row>
    <row r="38" spans="1:18" x14ac:dyDescent="0.35">
      <c r="A38" s="37" t="s">
        <v>177</v>
      </c>
      <c r="B38" s="37" t="s">
        <v>360</v>
      </c>
      <c r="C38" s="37" t="s">
        <v>361</v>
      </c>
      <c r="D38" s="37" t="s">
        <v>362</v>
      </c>
      <c r="E38" s="37">
        <v>1100</v>
      </c>
      <c r="F38" s="37"/>
      <c r="G38" s="38"/>
      <c r="H38" s="38"/>
      <c r="I38" s="51">
        <v>46119</v>
      </c>
      <c r="J38" s="1">
        <v>36</v>
      </c>
      <c r="K38" s="1">
        <f t="shared" si="2"/>
        <v>0</v>
      </c>
      <c r="L38" s="1">
        <v>5000</v>
      </c>
      <c r="M38" s="1">
        <f t="shared" si="1"/>
        <v>5000</v>
      </c>
      <c r="R38">
        <f>P38-Q38</f>
        <v>0</v>
      </c>
    </row>
    <row r="39" spans="1:18" x14ac:dyDescent="0.35">
      <c r="A39" s="37" t="s">
        <v>177</v>
      </c>
      <c r="B39" s="37" t="s">
        <v>360</v>
      </c>
      <c r="C39" s="37" t="s">
        <v>363</v>
      </c>
      <c r="D39" s="37" t="s">
        <v>364</v>
      </c>
      <c r="E39" s="37">
        <v>1100</v>
      </c>
      <c r="F39" s="37"/>
      <c r="G39" s="38"/>
      <c r="H39" s="38"/>
      <c r="I39" s="51">
        <v>46119</v>
      </c>
      <c r="J39" s="1">
        <v>37</v>
      </c>
      <c r="K39" s="1">
        <f t="shared" si="2"/>
        <v>0</v>
      </c>
      <c r="L39" s="1">
        <v>300</v>
      </c>
      <c r="M39" s="1">
        <f t="shared" si="1"/>
        <v>300</v>
      </c>
    </row>
    <row r="40" spans="1:18" ht="15.5" x14ac:dyDescent="0.35">
      <c r="A40" s="59"/>
      <c r="B40" s="35" t="s">
        <v>365</v>
      </c>
      <c r="C40" s="35" t="s">
        <v>366</v>
      </c>
      <c r="D40" s="35" t="s">
        <v>367</v>
      </c>
      <c r="E40" s="35">
        <v>100</v>
      </c>
      <c r="F40" s="35"/>
      <c r="G40" s="36"/>
      <c r="H40" s="36"/>
      <c r="I40" s="62"/>
      <c r="J40" s="1">
        <v>38</v>
      </c>
      <c r="K40" s="1">
        <f t="shared" si="2"/>
        <v>0</v>
      </c>
      <c r="L40" s="1">
        <v>300</v>
      </c>
      <c r="M40" s="1">
        <f t="shared" si="1"/>
        <v>300</v>
      </c>
    </row>
    <row r="41" spans="1:18" x14ac:dyDescent="0.35">
      <c r="A41" s="26" t="s">
        <v>177</v>
      </c>
      <c r="B41" s="26" t="s">
        <v>368</v>
      </c>
      <c r="C41" s="26" t="s">
        <v>369</v>
      </c>
      <c r="D41" s="26" t="s">
        <v>370</v>
      </c>
      <c r="E41" s="26">
        <f>50*13</f>
        <v>650</v>
      </c>
      <c r="F41" s="26"/>
      <c r="G41" s="26"/>
      <c r="H41" s="26"/>
      <c r="I41" s="53">
        <v>46125</v>
      </c>
      <c r="J41" s="1">
        <v>39</v>
      </c>
      <c r="K41" s="1">
        <f t="shared" si="2"/>
        <v>0</v>
      </c>
      <c r="L41" s="1">
        <v>30</v>
      </c>
      <c r="M41" s="1">
        <f t="shared" si="1"/>
        <v>30</v>
      </c>
    </row>
    <row r="42" spans="1:18" x14ac:dyDescent="0.35">
      <c r="A42" s="37" t="s">
        <v>177</v>
      </c>
      <c r="B42" s="37" t="s">
        <v>158</v>
      </c>
      <c r="C42" s="37" t="s">
        <v>371</v>
      </c>
      <c r="D42" s="37" t="s">
        <v>372</v>
      </c>
      <c r="E42" s="37">
        <v>9</v>
      </c>
      <c r="F42" s="37"/>
      <c r="G42" s="37"/>
      <c r="H42" s="37"/>
      <c r="I42" s="51">
        <v>46127</v>
      </c>
      <c r="J42" s="1"/>
      <c r="K42" s="1"/>
      <c r="L42" s="1"/>
      <c r="M42" s="1"/>
    </row>
    <row r="43" spans="1:18" x14ac:dyDescent="0.35">
      <c r="A43" s="35"/>
      <c r="B43" s="35" t="s">
        <v>373</v>
      </c>
      <c r="C43" s="35" t="s">
        <v>374</v>
      </c>
      <c r="D43" s="35" t="s">
        <v>375</v>
      </c>
      <c r="E43" s="35">
        <f>2*36</f>
        <v>72</v>
      </c>
      <c r="F43" s="35"/>
      <c r="G43" s="36"/>
      <c r="H43" s="36"/>
      <c r="I43" s="66">
        <v>46139</v>
      </c>
      <c r="J43" s="1"/>
      <c r="K43" s="1"/>
      <c r="L43" s="1"/>
      <c r="M43" s="1"/>
    </row>
    <row r="44" spans="1:18" x14ac:dyDescent="0.35">
      <c r="A44" s="26" t="s">
        <v>177</v>
      </c>
      <c r="B44" s="65" t="s">
        <v>376</v>
      </c>
      <c r="C44" s="65" t="s">
        <v>356</v>
      </c>
      <c r="D44" s="65" t="s">
        <v>377</v>
      </c>
      <c r="E44" s="63">
        <f>18*2</f>
        <v>36</v>
      </c>
      <c r="F44" s="26"/>
      <c r="G44" s="26"/>
      <c r="H44" s="26"/>
      <c r="I44" s="53">
        <v>46125</v>
      </c>
      <c r="J44" s="1"/>
      <c r="K44" s="1"/>
      <c r="L44" s="1"/>
      <c r="M44" s="1"/>
    </row>
    <row r="45" spans="1:18" x14ac:dyDescent="0.35">
      <c r="A45" s="34"/>
      <c r="B45" s="34" t="s">
        <v>378</v>
      </c>
      <c r="C45" s="34" t="s">
        <v>379</v>
      </c>
      <c r="D45" s="34" t="s">
        <v>380</v>
      </c>
      <c r="E45" s="34">
        <v>603</v>
      </c>
      <c r="F45" s="34"/>
      <c r="G45" s="68"/>
      <c r="H45" s="68"/>
      <c r="I45" s="67">
        <v>46139</v>
      </c>
      <c r="J45" s="1">
        <v>40</v>
      </c>
      <c r="K45" s="1">
        <f>SUMIF($F$2:$F$48,J45,$E$2:$E$48)</f>
        <v>0</v>
      </c>
      <c r="L45" s="1">
        <v>30</v>
      </c>
      <c r="M45" s="1">
        <f t="shared" si="1"/>
        <v>30</v>
      </c>
    </row>
    <row r="46" spans="1:18" x14ac:dyDescent="0.35">
      <c r="A46" s="37" t="s">
        <v>177</v>
      </c>
      <c r="B46" s="37" t="s">
        <v>378</v>
      </c>
      <c r="C46" s="37" t="s">
        <v>379</v>
      </c>
      <c r="D46" s="37" t="s">
        <v>381</v>
      </c>
      <c r="E46" s="37">
        <v>22</v>
      </c>
      <c r="F46" s="37"/>
      <c r="G46" s="38"/>
      <c r="H46" s="38"/>
      <c r="I46" s="51">
        <v>46139</v>
      </c>
      <c r="J46" s="1">
        <v>41</v>
      </c>
      <c r="K46" s="1">
        <f>SUMIF($F$2:$F$48,J46,$E$2:$E$48)</f>
        <v>0</v>
      </c>
      <c r="L46" s="1">
        <v>30</v>
      </c>
      <c r="M46" s="1">
        <f t="shared" si="1"/>
        <v>30</v>
      </c>
    </row>
    <row r="47" spans="1:18" x14ac:dyDescent="0.35">
      <c r="A47" s="26" t="s">
        <v>177</v>
      </c>
      <c r="B47" s="26" t="s">
        <v>382</v>
      </c>
      <c r="C47" s="26" t="s">
        <v>383</v>
      </c>
      <c r="D47" s="26" t="s">
        <v>384</v>
      </c>
      <c r="E47" s="26">
        <f>10000+100</f>
        <v>10100</v>
      </c>
      <c r="F47" s="26"/>
      <c r="G47" s="27"/>
      <c r="H47" s="27"/>
      <c r="I47" s="53">
        <v>46139</v>
      </c>
    </row>
    <row r="48" spans="1:18" x14ac:dyDescent="0.35">
      <c r="A48" s="26" t="s">
        <v>177</v>
      </c>
      <c r="B48" s="26" t="s">
        <v>382</v>
      </c>
      <c r="C48" s="26" t="s">
        <v>385</v>
      </c>
      <c r="D48" s="26" t="s">
        <v>386</v>
      </c>
      <c r="E48" s="26">
        <v>100</v>
      </c>
      <c r="F48" s="26"/>
      <c r="G48" s="27"/>
      <c r="H48" s="27"/>
      <c r="I48" s="53">
        <v>46139</v>
      </c>
    </row>
    <row r="49" spans="1:9" x14ac:dyDescent="0.35">
      <c r="A49" s="26" t="s">
        <v>177</v>
      </c>
      <c r="B49" s="26" t="s">
        <v>382</v>
      </c>
      <c r="C49" s="26" t="s">
        <v>387</v>
      </c>
      <c r="D49" s="26" t="s">
        <v>388</v>
      </c>
      <c r="E49" s="26">
        <v>540</v>
      </c>
      <c r="F49" s="26"/>
      <c r="G49" s="27"/>
      <c r="H49" s="27"/>
      <c r="I49" s="53">
        <v>46139</v>
      </c>
    </row>
    <row r="50" spans="1:9" x14ac:dyDescent="0.35">
      <c r="A50" s="26" t="s">
        <v>177</v>
      </c>
      <c r="B50" s="26" t="s">
        <v>382</v>
      </c>
      <c r="C50" s="26" t="s">
        <v>389</v>
      </c>
      <c r="D50" s="26" t="s">
        <v>390</v>
      </c>
      <c r="E50" s="26">
        <v>200</v>
      </c>
      <c r="F50" s="26"/>
      <c r="G50" s="27"/>
      <c r="H50" s="27"/>
      <c r="I50" s="53">
        <v>46139</v>
      </c>
    </row>
    <row r="51" spans="1:9" x14ac:dyDescent="0.35">
      <c r="A51" s="26" t="s">
        <v>177</v>
      </c>
      <c r="B51" s="26" t="s">
        <v>382</v>
      </c>
      <c r="C51" s="26" t="s">
        <v>391</v>
      </c>
      <c r="D51" s="26" t="s">
        <v>392</v>
      </c>
      <c r="E51" s="26">
        <v>20</v>
      </c>
      <c r="F51" s="26"/>
      <c r="G51" s="27"/>
      <c r="H51" s="27"/>
      <c r="I51" s="53">
        <v>46139</v>
      </c>
    </row>
    <row r="52" spans="1:9" x14ac:dyDescent="0.35">
      <c r="A52" s="26" t="s">
        <v>177</v>
      </c>
      <c r="B52" s="26" t="s">
        <v>382</v>
      </c>
      <c r="C52" s="26" t="s">
        <v>393</v>
      </c>
      <c r="D52" s="26" t="s">
        <v>394</v>
      </c>
      <c r="E52" s="26">
        <v>3500</v>
      </c>
      <c r="F52" s="26"/>
      <c r="G52" s="27"/>
      <c r="H52" s="27"/>
      <c r="I52" s="53">
        <v>46139</v>
      </c>
    </row>
    <row r="53" spans="1:9" x14ac:dyDescent="0.35">
      <c r="A53" s="34"/>
      <c r="B53" s="34" t="s">
        <v>382</v>
      </c>
      <c r="C53" s="34" t="s">
        <v>395</v>
      </c>
      <c r="D53" s="34" t="s">
        <v>396</v>
      </c>
      <c r="E53" s="34">
        <v>10500</v>
      </c>
      <c r="F53" s="34"/>
      <c r="G53" s="34"/>
      <c r="H53" s="34"/>
      <c r="I53" s="67">
        <v>46139</v>
      </c>
    </row>
    <row r="54" spans="1:9" x14ac:dyDescent="0.35">
      <c r="A54" s="26" t="s">
        <v>177</v>
      </c>
      <c r="B54" s="26" t="s">
        <v>382</v>
      </c>
      <c r="C54" s="26" t="s">
        <v>397</v>
      </c>
      <c r="D54" s="26" t="s">
        <v>398</v>
      </c>
      <c r="E54" s="26">
        <v>11000</v>
      </c>
      <c r="F54" s="26"/>
      <c r="G54" s="26"/>
      <c r="H54" s="26"/>
      <c r="I54" s="53">
        <v>46139</v>
      </c>
    </row>
    <row r="55" spans="1:9" x14ac:dyDescent="0.35">
      <c r="A55" s="35"/>
      <c r="B55" s="35" t="s">
        <v>173</v>
      </c>
      <c r="C55" s="35" t="s">
        <v>399</v>
      </c>
      <c r="D55" s="35" t="s">
        <v>400</v>
      </c>
      <c r="E55" s="35">
        <f>50*15</f>
        <v>750</v>
      </c>
      <c r="F55" s="35"/>
      <c r="G55" s="35"/>
      <c r="H55" s="35"/>
      <c r="I55" s="66">
        <v>46139</v>
      </c>
    </row>
    <row r="56" spans="1:9" x14ac:dyDescent="0.35">
      <c r="A56" s="26" t="s">
        <v>177</v>
      </c>
      <c r="B56" s="26" t="s">
        <v>401</v>
      </c>
      <c r="C56" s="26" t="s">
        <v>402</v>
      </c>
      <c r="D56" s="26" t="s">
        <v>403</v>
      </c>
      <c r="E56" s="26">
        <v>210</v>
      </c>
      <c r="F56" s="26"/>
      <c r="G56" s="26"/>
      <c r="H56" s="26"/>
      <c r="I56" s="53">
        <v>46136</v>
      </c>
    </row>
    <row r="57" spans="1:9" x14ac:dyDescent="0.35">
      <c r="A57" s="34"/>
      <c r="B57" s="34" t="s">
        <v>404</v>
      </c>
      <c r="C57" s="34" t="s">
        <v>405</v>
      </c>
      <c r="D57" s="34" t="s">
        <v>406</v>
      </c>
      <c r="E57" s="34">
        <v>5100</v>
      </c>
      <c r="F57" s="34"/>
      <c r="G57" s="34"/>
      <c r="H57" s="34"/>
      <c r="I57" s="67">
        <v>46141</v>
      </c>
    </row>
    <row r="58" spans="1:9" x14ac:dyDescent="0.35">
      <c r="A58" s="35"/>
      <c r="B58" s="35" t="s">
        <v>284</v>
      </c>
      <c r="C58" s="35" t="s">
        <v>407</v>
      </c>
      <c r="D58" s="35" t="s">
        <v>408</v>
      </c>
      <c r="E58" s="35">
        <v>1360</v>
      </c>
      <c r="F58" s="35"/>
      <c r="G58" s="35"/>
      <c r="H58" s="35"/>
      <c r="I58" s="66">
        <v>46141</v>
      </c>
    </row>
    <row r="59" spans="1:9" x14ac:dyDescent="0.35">
      <c r="A59" s="35"/>
      <c r="B59" s="35" t="s">
        <v>284</v>
      </c>
      <c r="C59" s="35" t="s">
        <v>409</v>
      </c>
      <c r="D59" s="35" t="s">
        <v>410</v>
      </c>
      <c r="E59" s="35">
        <v>1360</v>
      </c>
      <c r="F59" s="35"/>
      <c r="G59" s="35"/>
      <c r="H59" s="35"/>
      <c r="I59" s="66">
        <v>46141</v>
      </c>
    </row>
    <row r="60" spans="1:9" x14ac:dyDescent="0.35">
      <c r="A60" s="35"/>
      <c r="B60" s="35" t="s">
        <v>284</v>
      </c>
      <c r="C60" s="35" t="s">
        <v>411</v>
      </c>
      <c r="D60" s="35" t="s">
        <v>412</v>
      </c>
      <c r="E60" s="35">
        <v>1360</v>
      </c>
      <c r="F60" s="35"/>
      <c r="G60" s="35"/>
      <c r="H60" s="35"/>
      <c r="I60" s="66">
        <v>46141</v>
      </c>
    </row>
    <row r="61" spans="1:9" x14ac:dyDescent="0.35">
      <c r="A61" s="34"/>
      <c r="B61" s="34" t="s">
        <v>413</v>
      </c>
      <c r="C61" s="34" t="s">
        <v>414</v>
      </c>
      <c r="D61" s="34" t="s">
        <v>415</v>
      </c>
      <c r="E61" s="34">
        <v>5</v>
      </c>
      <c r="F61" s="34"/>
      <c r="G61" s="34"/>
      <c r="H61" s="34"/>
      <c r="I61" s="67">
        <v>46146</v>
      </c>
    </row>
    <row r="62" spans="1:9" x14ac:dyDescent="0.35">
      <c r="A62" s="35"/>
      <c r="B62" s="35" t="s">
        <v>416</v>
      </c>
      <c r="C62" s="35" t="s">
        <v>417</v>
      </c>
      <c r="D62" s="35" t="s">
        <v>418</v>
      </c>
      <c r="E62" s="35">
        <v>2</v>
      </c>
      <c r="F62" s="35"/>
      <c r="G62" s="35"/>
      <c r="H62" s="35"/>
      <c r="I62" s="66">
        <v>46149</v>
      </c>
    </row>
    <row r="63" spans="1:9" x14ac:dyDescent="0.35">
      <c r="A63" s="34"/>
      <c r="B63" s="34" t="s">
        <v>376</v>
      </c>
      <c r="C63" s="34" t="s">
        <v>419</v>
      </c>
      <c r="D63" s="34" t="s">
        <v>420</v>
      </c>
      <c r="E63" s="34">
        <v>1</v>
      </c>
      <c r="F63" s="34"/>
      <c r="G63" s="34"/>
      <c r="H63" s="34"/>
      <c r="I63" s="67">
        <v>46146</v>
      </c>
    </row>
    <row r="64" spans="1:9" x14ac:dyDescent="0.35">
      <c r="A64" s="35" t="s">
        <v>421</v>
      </c>
      <c r="B64" s="35" t="s">
        <v>376</v>
      </c>
      <c r="C64" s="35" t="s">
        <v>356</v>
      </c>
      <c r="D64" s="35" t="s">
        <v>422</v>
      </c>
      <c r="E64" s="35">
        <f>24*2</f>
        <v>48</v>
      </c>
      <c r="F64" s="35"/>
      <c r="G64" s="35"/>
      <c r="H64" s="35"/>
      <c r="I64" s="66">
        <v>46140</v>
      </c>
    </row>
    <row r="69" spans="12:12" x14ac:dyDescent="0.35">
      <c r="L69">
        <f>109494.68*2-19590.55-82020.35</f>
        <v>117378.45999999999</v>
      </c>
    </row>
  </sheetData>
  <autoFilter ref="J2:M46" xr:uid="{1A810A93-892C-463B-8B01-99764B48E646}"/>
  <mergeCells count="1">
    <mergeCell ref="J1:M1"/>
  </mergeCells>
  <phoneticPr fontId="13" type="noConversion"/>
  <conditionalFormatting sqref="K3:K46">
    <cfRule type="cellIs" dxfId="7" priority="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5F744C-B473-4887-B93C-3C88248414D8}">
          <x14:formula1>
            <xm:f>'Resumo Contrato Reajustado 2026'!$A$47:$A$89</xm:f>
          </x14:formula1>
          <xm:sqref>F32:F40 F2:F19 F43 F45:F52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898A-1D91-4FB5-B3FE-3C749110CEF0}">
  <dimension ref="A1:U50"/>
  <sheetViews>
    <sheetView workbookViewId="0">
      <pane ySplit="1" topLeftCell="A2" activePane="bottomLeft" state="frozen"/>
      <selection pane="bottomLeft" activeCell="G2" sqref="G2"/>
    </sheetView>
  </sheetViews>
  <sheetFormatPr defaultRowHeight="14.5" x14ac:dyDescent="0.35"/>
  <cols>
    <col min="1" max="1" width="10.7265625" bestFit="1" customWidth="1"/>
    <col min="2" max="2" width="18.81640625" bestFit="1" customWidth="1"/>
    <col min="3" max="3" width="20.26953125" bestFit="1" customWidth="1"/>
    <col min="4" max="4" width="26.26953125" bestFit="1" customWidth="1"/>
    <col min="5" max="5" width="13.1796875" bestFit="1" customWidth="1"/>
    <col min="6" max="6" width="7.1796875" bestFit="1" customWidth="1"/>
    <col min="7" max="7" width="15.453125" bestFit="1" customWidth="1"/>
    <col min="8" max="8" width="17.54296875" bestFit="1" customWidth="1"/>
    <col min="10" max="10" width="6.1796875" bestFit="1" customWidth="1"/>
    <col min="11" max="11" width="22.81640625" bestFit="1" customWidth="1"/>
    <col min="12" max="12" width="20.26953125" bestFit="1" customWidth="1"/>
    <col min="13" max="13" width="8.26953125" bestFit="1" customWidth="1"/>
    <col min="14" max="14" width="13.1796875" bestFit="1" customWidth="1"/>
    <col min="15" max="15" width="20.81640625" bestFit="1" customWidth="1"/>
    <col min="16" max="16" width="19.81640625" bestFit="1" customWidth="1"/>
    <col min="17" max="17" width="17.54296875" bestFit="1" customWidth="1"/>
  </cols>
  <sheetData>
    <row r="1" spans="1:21" ht="17.5" thickBot="1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4</v>
      </c>
      <c r="F1" s="8" t="s">
        <v>3</v>
      </c>
      <c r="G1" s="8" t="s">
        <v>97</v>
      </c>
      <c r="H1" s="8" t="s">
        <v>98</v>
      </c>
      <c r="J1" s="69" t="s">
        <v>99</v>
      </c>
      <c r="K1" s="69"/>
      <c r="L1" s="69"/>
      <c r="M1" s="69"/>
    </row>
    <row r="2" spans="1:21" ht="17.5" thickBot="1" x14ac:dyDescent="0.4">
      <c r="A2" s="6"/>
      <c r="B2" s="1"/>
      <c r="C2" s="1"/>
      <c r="D2" s="1"/>
      <c r="E2" s="1"/>
      <c r="F2" s="1"/>
      <c r="G2" s="3" t="str">
        <f>IF(F2="","",VLOOKUP(F2,'Resumo Contrato Reajustado 2026'!$A$2:$S$43,18,0))</f>
        <v/>
      </c>
      <c r="H2" s="3" t="str">
        <f>IF(F2="","",E2*G2)</f>
        <v/>
      </c>
      <c r="J2" s="5" t="s">
        <v>3</v>
      </c>
      <c r="K2" s="5" t="s">
        <v>103</v>
      </c>
      <c r="L2" s="5" t="s">
        <v>104</v>
      </c>
      <c r="M2" s="5" t="s">
        <v>6</v>
      </c>
      <c r="O2" s="9" t="s">
        <v>105</v>
      </c>
      <c r="P2" s="15">
        <f>SUM(H2:H46)</f>
        <v>0</v>
      </c>
    </row>
    <row r="3" spans="1:21" x14ac:dyDescent="0.35">
      <c r="A3" s="1"/>
      <c r="B3" s="1"/>
      <c r="C3" s="1"/>
      <c r="D3" s="1"/>
      <c r="E3" s="1"/>
      <c r="F3" s="1"/>
      <c r="G3" s="3" t="str">
        <f>IF(F3="","",VLOOKUP(F3,'Resumo Contrato Reajustado 2026'!$A$2:$S$43,18,0))</f>
        <v/>
      </c>
      <c r="H3" s="3" t="str">
        <f t="shared" ref="H3" si="0">IF(F3="","",E3*G3)</f>
        <v/>
      </c>
      <c r="J3" s="1">
        <v>1</v>
      </c>
      <c r="K3" s="1">
        <f t="shared" ref="K3:K44" si="1">SUMIF($F$2:$F$46,J3,$E$2:$E$46)</f>
        <v>0</v>
      </c>
      <c r="L3" s="1">
        <v>5</v>
      </c>
      <c r="M3" s="1">
        <f>L3-K3</f>
        <v>5</v>
      </c>
    </row>
    <row r="4" spans="1:21" x14ac:dyDescent="0.35">
      <c r="A4" s="1"/>
      <c r="B4" s="1"/>
      <c r="C4" s="1"/>
      <c r="D4" s="1"/>
      <c r="E4" s="1"/>
      <c r="F4" s="1"/>
      <c r="G4" s="3"/>
      <c r="H4" s="3"/>
      <c r="J4" s="1">
        <v>2</v>
      </c>
      <c r="K4" s="1">
        <f t="shared" si="1"/>
        <v>0</v>
      </c>
      <c r="L4" s="1">
        <v>5</v>
      </c>
      <c r="M4" s="1">
        <f t="shared" ref="M4:M44" si="2">L4-K4</f>
        <v>5</v>
      </c>
    </row>
    <row r="5" spans="1:21" x14ac:dyDescent="0.35">
      <c r="A5" s="1"/>
      <c r="B5" s="1"/>
      <c r="C5" s="1"/>
      <c r="D5" s="1"/>
      <c r="E5" s="1"/>
      <c r="F5" s="1"/>
      <c r="G5" s="3"/>
      <c r="H5" s="3"/>
      <c r="J5" s="1">
        <v>3</v>
      </c>
      <c r="K5" s="1">
        <f t="shared" si="1"/>
        <v>0</v>
      </c>
      <c r="L5" s="1">
        <v>5</v>
      </c>
      <c r="M5" s="1">
        <f t="shared" si="2"/>
        <v>5</v>
      </c>
    </row>
    <row r="6" spans="1:21" x14ac:dyDescent="0.35">
      <c r="A6" s="1"/>
      <c r="B6" s="1"/>
      <c r="C6" s="1"/>
      <c r="D6" s="1"/>
      <c r="E6" s="1"/>
      <c r="F6" s="1"/>
      <c r="G6" s="3"/>
      <c r="H6" s="3"/>
      <c r="J6" s="1">
        <v>4</v>
      </c>
      <c r="K6" s="1">
        <f t="shared" si="1"/>
        <v>0</v>
      </c>
      <c r="L6" s="1">
        <v>200</v>
      </c>
      <c r="M6" s="1">
        <f t="shared" si="2"/>
        <v>200</v>
      </c>
    </row>
    <row r="7" spans="1:21" x14ac:dyDescent="0.35">
      <c r="A7" s="1"/>
      <c r="B7" s="1"/>
      <c r="C7" s="1"/>
      <c r="D7" s="1"/>
      <c r="E7" s="1"/>
      <c r="F7" s="1"/>
      <c r="G7" s="3"/>
      <c r="H7" s="3"/>
      <c r="J7" s="1">
        <v>5</v>
      </c>
      <c r="K7" s="1">
        <f t="shared" si="1"/>
        <v>0</v>
      </c>
      <c r="L7" s="1">
        <v>200</v>
      </c>
      <c r="M7" s="1">
        <f t="shared" si="2"/>
        <v>200</v>
      </c>
      <c r="U7" t="s">
        <v>117</v>
      </c>
    </row>
    <row r="8" spans="1:21" x14ac:dyDescent="0.35">
      <c r="A8" s="1"/>
      <c r="B8" s="1"/>
      <c r="C8" s="1"/>
      <c r="D8" s="1"/>
      <c r="E8" s="1"/>
      <c r="F8" s="1"/>
      <c r="G8" s="3"/>
      <c r="H8" s="3"/>
      <c r="J8" s="1">
        <v>6</v>
      </c>
      <c r="K8" s="1">
        <f t="shared" si="1"/>
        <v>0</v>
      </c>
      <c r="L8" s="1">
        <v>300</v>
      </c>
      <c r="M8" s="1">
        <f t="shared" si="2"/>
        <v>300</v>
      </c>
    </row>
    <row r="9" spans="1:21" x14ac:dyDescent="0.35">
      <c r="A9" s="1"/>
      <c r="B9" s="1"/>
      <c r="C9" s="1"/>
      <c r="D9" s="1"/>
      <c r="E9" s="1"/>
      <c r="F9" s="1"/>
      <c r="G9" s="3"/>
      <c r="H9" s="3"/>
      <c r="J9" s="1">
        <v>7</v>
      </c>
      <c r="K9" s="1">
        <f t="shared" si="1"/>
        <v>0</v>
      </c>
      <c r="L9" s="1">
        <v>100</v>
      </c>
      <c r="M9" s="1">
        <f t="shared" si="2"/>
        <v>100</v>
      </c>
    </row>
    <row r="10" spans="1:21" x14ac:dyDescent="0.35">
      <c r="A10" s="1"/>
      <c r="B10" s="1"/>
      <c r="C10" s="1"/>
      <c r="D10" s="1"/>
      <c r="E10" s="1"/>
      <c r="F10" s="1"/>
      <c r="G10" s="3"/>
      <c r="H10" s="3"/>
      <c r="J10" s="1">
        <v>8</v>
      </c>
      <c r="K10" s="1">
        <f t="shared" si="1"/>
        <v>0</v>
      </c>
      <c r="L10" s="1">
        <v>5</v>
      </c>
      <c r="M10" s="1">
        <f t="shared" si="2"/>
        <v>5</v>
      </c>
    </row>
    <row r="11" spans="1:21" x14ac:dyDescent="0.35">
      <c r="A11" s="1"/>
      <c r="B11" s="1"/>
      <c r="C11" s="1"/>
      <c r="D11" s="1"/>
      <c r="E11" s="1"/>
      <c r="F11" s="1"/>
      <c r="G11" s="3"/>
      <c r="H11" s="3"/>
      <c r="J11" s="1">
        <v>9</v>
      </c>
      <c r="K11" s="1">
        <f t="shared" si="1"/>
        <v>0</v>
      </c>
      <c r="L11" s="1">
        <v>200</v>
      </c>
      <c r="M11" s="1">
        <f t="shared" si="2"/>
        <v>200</v>
      </c>
    </row>
    <row r="12" spans="1:21" x14ac:dyDescent="0.35">
      <c r="A12" s="6"/>
      <c r="B12" s="1"/>
      <c r="C12" s="1"/>
      <c r="D12" s="1"/>
      <c r="E12" s="1"/>
      <c r="F12" s="1"/>
      <c r="G12" s="3"/>
      <c r="H12" s="3"/>
      <c r="J12" s="1">
        <v>10</v>
      </c>
      <c r="K12" s="1">
        <f t="shared" si="1"/>
        <v>0</v>
      </c>
      <c r="L12" s="1">
        <v>200</v>
      </c>
      <c r="M12" s="1">
        <f t="shared" si="2"/>
        <v>200</v>
      </c>
    </row>
    <row r="13" spans="1:21" x14ac:dyDescent="0.35">
      <c r="A13" s="1"/>
      <c r="B13" s="1"/>
      <c r="C13" s="1"/>
      <c r="D13" s="1"/>
      <c r="E13" s="1"/>
      <c r="F13" s="1"/>
      <c r="G13" s="3"/>
      <c r="H13" s="3"/>
      <c r="J13" s="1">
        <v>11</v>
      </c>
      <c r="K13" s="1">
        <f t="shared" si="1"/>
        <v>0</v>
      </c>
      <c r="L13" s="1">
        <v>200</v>
      </c>
      <c r="M13" s="1">
        <f t="shared" si="2"/>
        <v>200</v>
      </c>
    </row>
    <row r="14" spans="1:21" x14ac:dyDescent="0.35">
      <c r="A14" s="1"/>
      <c r="B14" s="1"/>
      <c r="C14" s="1"/>
      <c r="D14" s="1"/>
      <c r="E14" s="1"/>
      <c r="F14" s="1"/>
      <c r="G14" s="3"/>
      <c r="H14" s="3"/>
      <c r="I14" s="70"/>
      <c r="J14" s="1">
        <v>12</v>
      </c>
      <c r="K14" s="1">
        <f t="shared" si="1"/>
        <v>0</v>
      </c>
      <c r="L14" s="1">
        <v>100</v>
      </c>
      <c r="M14" s="1">
        <f t="shared" si="2"/>
        <v>100</v>
      </c>
    </row>
    <row r="15" spans="1:21" x14ac:dyDescent="0.35">
      <c r="A15" s="1"/>
      <c r="B15" s="1"/>
      <c r="C15" s="1"/>
      <c r="D15" s="1"/>
      <c r="E15" s="1"/>
      <c r="F15" s="1"/>
      <c r="G15" s="3"/>
      <c r="H15" s="3"/>
      <c r="I15" s="70"/>
      <c r="J15" s="1">
        <v>13</v>
      </c>
      <c r="K15" s="1">
        <f t="shared" si="1"/>
        <v>0</v>
      </c>
      <c r="L15" s="1">
        <v>200</v>
      </c>
      <c r="M15" s="1">
        <f t="shared" si="2"/>
        <v>200</v>
      </c>
    </row>
    <row r="16" spans="1:21" x14ac:dyDescent="0.35">
      <c r="A16" s="1"/>
      <c r="B16" s="1"/>
      <c r="C16" s="1"/>
      <c r="D16" s="1"/>
      <c r="E16" s="1"/>
      <c r="F16" s="1"/>
      <c r="G16" s="3"/>
      <c r="H16" s="3"/>
      <c r="I16" s="70"/>
      <c r="J16" s="1">
        <v>14</v>
      </c>
      <c r="K16" s="1">
        <f t="shared" si="1"/>
        <v>0</v>
      </c>
      <c r="L16" s="1">
        <v>200</v>
      </c>
      <c r="M16" s="1">
        <f t="shared" si="2"/>
        <v>200</v>
      </c>
      <c r="P16" s="25"/>
    </row>
    <row r="17" spans="1:15" x14ac:dyDescent="0.35">
      <c r="A17" s="1"/>
      <c r="B17" s="1"/>
      <c r="C17" s="1"/>
      <c r="D17" s="1"/>
      <c r="E17" s="1"/>
      <c r="F17" s="1"/>
      <c r="G17" s="3"/>
      <c r="H17" s="3"/>
      <c r="J17" s="1">
        <v>15</v>
      </c>
      <c r="K17" s="1">
        <f t="shared" si="1"/>
        <v>0</v>
      </c>
      <c r="L17" s="1">
        <v>300</v>
      </c>
      <c r="M17" s="1">
        <f t="shared" si="2"/>
        <v>300</v>
      </c>
    </row>
    <row r="18" spans="1:15" x14ac:dyDescent="0.35">
      <c r="A18" s="1"/>
      <c r="B18" s="1"/>
      <c r="C18" s="1"/>
      <c r="D18" s="1"/>
      <c r="E18" s="1"/>
      <c r="F18" s="1"/>
      <c r="G18" s="3"/>
      <c r="H18" s="3"/>
      <c r="J18" s="1">
        <v>16</v>
      </c>
      <c r="K18" s="1">
        <f t="shared" si="1"/>
        <v>0</v>
      </c>
      <c r="L18" s="1">
        <v>200</v>
      </c>
      <c r="M18" s="1">
        <f t="shared" si="2"/>
        <v>200</v>
      </c>
    </row>
    <row r="19" spans="1:15" x14ac:dyDescent="0.35">
      <c r="A19" s="1"/>
      <c r="B19" s="1"/>
      <c r="C19" s="1"/>
      <c r="D19" s="1"/>
      <c r="E19" s="1"/>
      <c r="F19" s="1"/>
      <c r="G19" s="3"/>
      <c r="H19" s="3"/>
      <c r="J19" s="1">
        <v>17</v>
      </c>
      <c r="K19" s="1">
        <f t="shared" si="1"/>
        <v>0</v>
      </c>
      <c r="L19" s="1">
        <v>200</v>
      </c>
      <c r="M19" s="1">
        <f t="shared" si="2"/>
        <v>200</v>
      </c>
      <c r="O19" s="25"/>
    </row>
    <row r="20" spans="1:15" x14ac:dyDescent="0.35">
      <c r="A20" s="1"/>
      <c r="B20" s="1"/>
      <c r="C20" s="1"/>
      <c r="D20" s="1"/>
      <c r="E20" s="1"/>
      <c r="F20" s="1"/>
      <c r="G20" s="3"/>
      <c r="H20" s="3"/>
      <c r="J20" s="1">
        <v>18</v>
      </c>
      <c r="K20" s="1">
        <f t="shared" si="1"/>
        <v>0</v>
      </c>
      <c r="L20" s="1">
        <v>500</v>
      </c>
      <c r="M20" s="1">
        <f t="shared" si="2"/>
        <v>500</v>
      </c>
    </row>
    <row r="21" spans="1:15" x14ac:dyDescent="0.35">
      <c r="A21" s="1"/>
      <c r="B21" s="1"/>
      <c r="C21" s="1"/>
      <c r="D21" s="1"/>
      <c r="E21" s="1"/>
      <c r="F21" s="1"/>
      <c r="G21" s="3"/>
      <c r="H21" s="3"/>
      <c r="I21" s="70"/>
      <c r="J21" s="1">
        <v>19</v>
      </c>
      <c r="K21" s="1">
        <f t="shared" si="1"/>
        <v>0</v>
      </c>
      <c r="L21" s="1">
        <v>80000</v>
      </c>
      <c r="M21" s="1">
        <f t="shared" si="2"/>
        <v>80000</v>
      </c>
    </row>
    <row r="22" spans="1:15" x14ac:dyDescent="0.35">
      <c r="A22" s="1"/>
      <c r="B22" s="1"/>
      <c r="C22" s="1"/>
      <c r="D22" s="1"/>
      <c r="E22" s="1"/>
      <c r="F22" s="1"/>
      <c r="G22" s="3"/>
      <c r="H22" s="3"/>
      <c r="I22" s="70"/>
      <c r="J22" s="1">
        <v>20</v>
      </c>
      <c r="K22" s="1">
        <f t="shared" si="1"/>
        <v>0</v>
      </c>
      <c r="L22" s="1">
        <v>500</v>
      </c>
      <c r="M22" s="1">
        <f t="shared" si="2"/>
        <v>500</v>
      </c>
    </row>
    <row r="23" spans="1:15" x14ac:dyDescent="0.35">
      <c r="A23" s="1"/>
      <c r="B23" s="1"/>
      <c r="C23" s="1"/>
      <c r="D23" s="1"/>
      <c r="E23" s="1"/>
      <c r="F23" s="1"/>
      <c r="G23" s="3"/>
      <c r="H23" s="3"/>
      <c r="I23" s="70"/>
      <c r="J23" s="1">
        <v>21</v>
      </c>
      <c r="K23" s="1">
        <f t="shared" si="1"/>
        <v>0</v>
      </c>
      <c r="L23" s="1">
        <v>50000</v>
      </c>
      <c r="M23" s="1">
        <f t="shared" si="2"/>
        <v>50000</v>
      </c>
    </row>
    <row r="24" spans="1:15" x14ac:dyDescent="0.35">
      <c r="A24" s="1"/>
      <c r="B24" s="1"/>
      <c r="C24" s="1"/>
      <c r="D24" s="1"/>
      <c r="E24" s="1"/>
      <c r="F24" s="1"/>
      <c r="G24" s="3"/>
      <c r="H24" s="3"/>
      <c r="I24" s="70"/>
      <c r="J24" s="1">
        <v>22</v>
      </c>
      <c r="K24" s="1">
        <f t="shared" si="1"/>
        <v>0</v>
      </c>
      <c r="L24" s="1">
        <v>500</v>
      </c>
      <c r="M24" s="1">
        <f t="shared" si="2"/>
        <v>500</v>
      </c>
    </row>
    <row r="25" spans="1:15" x14ac:dyDescent="0.35">
      <c r="A25" s="1"/>
      <c r="B25" s="1"/>
      <c r="C25" s="1"/>
      <c r="D25" s="1"/>
      <c r="E25" s="1"/>
      <c r="F25" s="1"/>
      <c r="G25" s="3"/>
      <c r="H25" s="3"/>
      <c r="I25" s="70"/>
      <c r="J25" s="1">
        <v>23</v>
      </c>
      <c r="K25" s="1">
        <f t="shared" si="1"/>
        <v>0</v>
      </c>
      <c r="L25" s="1">
        <v>80000</v>
      </c>
      <c r="M25" s="1">
        <f t="shared" si="2"/>
        <v>80000</v>
      </c>
    </row>
    <row r="26" spans="1:15" x14ac:dyDescent="0.35">
      <c r="A26" s="1"/>
      <c r="B26" s="1"/>
      <c r="C26" s="1"/>
      <c r="D26" s="1"/>
      <c r="E26" s="1"/>
      <c r="F26" s="1"/>
      <c r="G26" s="3"/>
      <c r="H26" s="3"/>
      <c r="I26" s="70"/>
      <c r="J26" s="1">
        <v>24</v>
      </c>
      <c r="K26" s="1">
        <f t="shared" si="1"/>
        <v>0</v>
      </c>
      <c r="L26" s="1">
        <v>500</v>
      </c>
      <c r="M26" s="1">
        <f t="shared" si="2"/>
        <v>500</v>
      </c>
    </row>
    <row r="27" spans="1:15" x14ac:dyDescent="0.35">
      <c r="A27" s="1"/>
      <c r="B27" s="1"/>
      <c r="C27" s="1"/>
      <c r="D27" s="1"/>
      <c r="E27" s="1"/>
      <c r="F27" s="1"/>
      <c r="G27" s="3"/>
      <c r="H27" s="3"/>
      <c r="I27" s="70"/>
      <c r="J27" s="1">
        <v>25</v>
      </c>
      <c r="K27" s="1">
        <f t="shared" si="1"/>
        <v>0</v>
      </c>
      <c r="L27" s="1">
        <v>50000</v>
      </c>
      <c r="M27" s="1">
        <f t="shared" si="2"/>
        <v>50000</v>
      </c>
    </row>
    <row r="28" spans="1:15" x14ac:dyDescent="0.35">
      <c r="A28" s="1"/>
      <c r="B28" s="1"/>
      <c r="C28" s="1"/>
      <c r="D28" s="1"/>
      <c r="E28" s="1"/>
      <c r="F28" s="1"/>
      <c r="G28" s="3"/>
      <c r="H28" s="3"/>
      <c r="I28" s="70"/>
      <c r="J28" s="1">
        <v>26</v>
      </c>
      <c r="K28" s="1">
        <f t="shared" si="1"/>
        <v>0</v>
      </c>
      <c r="L28" s="1">
        <v>300</v>
      </c>
      <c r="M28" s="1">
        <f t="shared" si="2"/>
        <v>300</v>
      </c>
    </row>
    <row r="29" spans="1:15" x14ac:dyDescent="0.35">
      <c r="A29" s="1"/>
      <c r="B29" s="1"/>
      <c r="C29" s="1"/>
      <c r="D29" s="1"/>
      <c r="E29" s="1"/>
      <c r="F29" s="1"/>
      <c r="G29" s="3"/>
      <c r="H29" s="3"/>
      <c r="I29" s="70"/>
      <c r="J29" s="1">
        <v>27</v>
      </c>
      <c r="K29" s="1">
        <f t="shared" si="1"/>
        <v>0</v>
      </c>
      <c r="L29" s="1">
        <v>300</v>
      </c>
      <c r="M29" s="1">
        <f t="shared" si="2"/>
        <v>300</v>
      </c>
    </row>
    <row r="30" spans="1:15" x14ac:dyDescent="0.35">
      <c r="A30" s="1"/>
      <c r="B30" s="1"/>
      <c r="C30" s="1"/>
      <c r="D30" s="1"/>
      <c r="E30" s="1"/>
      <c r="F30" s="1"/>
      <c r="G30" s="3"/>
      <c r="H30" s="3"/>
      <c r="J30" s="1">
        <v>28</v>
      </c>
      <c r="K30" s="1">
        <f t="shared" si="1"/>
        <v>0</v>
      </c>
      <c r="L30" s="1">
        <v>300</v>
      </c>
      <c r="M30" s="1">
        <f t="shared" si="2"/>
        <v>300</v>
      </c>
    </row>
    <row r="31" spans="1:15" x14ac:dyDescent="0.35">
      <c r="A31" s="1"/>
      <c r="B31" s="1"/>
      <c r="C31" s="1"/>
      <c r="D31" s="1"/>
      <c r="E31" s="1"/>
      <c r="F31" s="1"/>
      <c r="G31" s="3"/>
      <c r="H31" s="3"/>
      <c r="I31" s="70"/>
      <c r="J31" s="1">
        <v>29</v>
      </c>
      <c r="K31" s="1">
        <f t="shared" si="1"/>
        <v>0</v>
      </c>
      <c r="L31" s="1">
        <v>300</v>
      </c>
      <c r="M31" s="1">
        <f t="shared" si="2"/>
        <v>300</v>
      </c>
    </row>
    <row r="32" spans="1:15" ht="15" customHeight="1" x14ac:dyDescent="0.35">
      <c r="A32" s="1"/>
      <c r="B32" s="1"/>
      <c r="C32" s="1"/>
      <c r="D32" s="1"/>
      <c r="E32" s="1"/>
      <c r="F32" s="1"/>
      <c r="G32" s="3"/>
      <c r="H32" s="3"/>
      <c r="I32" s="70"/>
      <c r="J32" s="1">
        <v>30</v>
      </c>
      <c r="K32" s="1">
        <f t="shared" si="1"/>
        <v>0</v>
      </c>
      <c r="L32" s="1">
        <v>300</v>
      </c>
      <c r="M32" s="1">
        <f t="shared" si="2"/>
        <v>300</v>
      </c>
    </row>
    <row r="33" spans="1:18" ht="15" customHeight="1" x14ac:dyDescent="0.35">
      <c r="A33" s="1"/>
      <c r="B33" s="1"/>
      <c r="C33" s="1"/>
      <c r="D33" s="1"/>
      <c r="E33" s="1"/>
      <c r="F33" s="1"/>
      <c r="G33" s="3"/>
      <c r="H33" s="3"/>
      <c r="I33" s="70"/>
      <c r="J33" s="1">
        <v>31</v>
      </c>
      <c r="K33" s="1">
        <f t="shared" si="1"/>
        <v>0</v>
      </c>
      <c r="L33" s="1">
        <v>300</v>
      </c>
      <c r="M33" s="1">
        <f t="shared" si="2"/>
        <v>300</v>
      </c>
    </row>
    <row r="34" spans="1:18" ht="15" customHeight="1" x14ac:dyDescent="0.35">
      <c r="A34" s="1"/>
      <c r="B34" s="1"/>
      <c r="C34" s="1"/>
      <c r="D34" s="1"/>
      <c r="E34" s="1"/>
      <c r="F34" s="1"/>
      <c r="G34" s="3"/>
      <c r="H34" s="3"/>
      <c r="I34" s="70"/>
      <c r="J34" s="1">
        <v>32</v>
      </c>
      <c r="K34" s="1">
        <f t="shared" si="1"/>
        <v>0</v>
      </c>
      <c r="L34" s="1">
        <v>300</v>
      </c>
      <c r="M34" s="1">
        <f t="shared" si="2"/>
        <v>300</v>
      </c>
      <c r="R34">
        <f>P34-Q34</f>
        <v>0</v>
      </c>
    </row>
    <row r="35" spans="1:18" ht="15" customHeight="1" x14ac:dyDescent="0.35">
      <c r="A35" s="1"/>
      <c r="B35" s="1"/>
      <c r="C35" s="1"/>
      <c r="D35" s="1"/>
      <c r="E35" s="1"/>
      <c r="F35" s="1"/>
      <c r="G35" s="3"/>
      <c r="H35" s="3"/>
      <c r="I35" s="70"/>
      <c r="J35" s="1">
        <v>33</v>
      </c>
      <c r="K35" s="1">
        <f t="shared" si="1"/>
        <v>0</v>
      </c>
      <c r="L35" s="1">
        <v>200</v>
      </c>
      <c r="M35" s="1">
        <f t="shared" si="2"/>
        <v>200</v>
      </c>
    </row>
    <row r="36" spans="1:18" ht="15" customHeight="1" x14ac:dyDescent="0.35">
      <c r="A36" s="1"/>
      <c r="B36" s="1"/>
      <c r="C36" s="1"/>
      <c r="D36" s="1"/>
      <c r="E36" s="1"/>
      <c r="F36" s="1"/>
      <c r="G36" s="3"/>
      <c r="H36" s="3"/>
      <c r="I36" s="70"/>
      <c r="J36" s="1">
        <v>34</v>
      </c>
      <c r="K36" s="1">
        <f t="shared" si="1"/>
        <v>0</v>
      </c>
      <c r="L36" s="1">
        <v>200</v>
      </c>
      <c r="M36" s="1">
        <f t="shared" si="2"/>
        <v>200</v>
      </c>
      <c r="R36">
        <f>P36-Q36</f>
        <v>0</v>
      </c>
    </row>
    <row r="37" spans="1:18" x14ac:dyDescent="0.35">
      <c r="A37" s="1"/>
      <c r="B37" s="1"/>
      <c r="C37" s="1"/>
      <c r="D37" s="1"/>
      <c r="E37" s="1"/>
      <c r="F37" s="1"/>
      <c r="G37" s="3"/>
      <c r="H37" s="3"/>
      <c r="J37" s="1">
        <v>35</v>
      </c>
      <c r="K37" s="1">
        <f t="shared" si="1"/>
        <v>0</v>
      </c>
      <c r="L37" s="1">
        <v>200</v>
      </c>
      <c r="M37" s="1">
        <f t="shared" si="2"/>
        <v>200</v>
      </c>
      <c r="R37">
        <f>P37-Q37</f>
        <v>0</v>
      </c>
    </row>
    <row r="38" spans="1:18" x14ac:dyDescent="0.35">
      <c r="A38" s="1"/>
      <c r="B38" s="1"/>
      <c r="C38" s="1"/>
      <c r="D38" s="1"/>
      <c r="E38" s="1"/>
      <c r="F38" s="1"/>
      <c r="G38" s="3"/>
      <c r="H38" s="3"/>
      <c r="J38" s="1">
        <v>36</v>
      </c>
      <c r="K38" s="1">
        <f t="shared" si="1"/>
        <v>0</v>
      </c>
      <c r="L38" s="1">
        <v>5000</v>
      </c>
      <c r="M38" s="1">
        <f t="shared" si="2"/>
        <v>5000</v>
      </c>
      <c r="R38">
        <f>P38-Q38</f>
        <v>0</v>
      </c>
    </row>
    <row r="39" spans="1:18" x14ac:dyDescent="0.35">
      <c r="A39" s="1"/>
      <c r="B39" s="1"/>
      <c r="C39" s="1"/>
      <c r="D39" s="1"/>
      <c r="E39" s="1"/>
      <c r="F39" s="1"/>
      <c r="G39" s="3"/>
      <c r="H39" s="3"/>
      <c r="J39" s="1">
        <v>37</v>
      </c>
      <c r="K39" s="1">
        <f t="shared" si="1"/>
        <v>0</v>
      </c>
      <c r="L39" s="1">
        <v>300</v>
      </c>
      <c r="M39" s="1">
        <f t="shared" si="2"/>
        <v>300</v>
      </c>
    </row>
    <row r="40" spans="1:18" x14ac:dyDescent="0.35">
      <c r="A40" s="1"/>
      <c r="B40" s="1"/>
      <c r="C40" s="1"/>
      <c r="D40" s="1"/>
      <c r="E40" s="1"/>
      <c r="F40" s="1"/>
      <c r="G40" s="3"/>
      <c r="H40" s="3"/>
      <c r="J40" s="1">
        <v>38</v>
      </c>
      <c r="K40" s="1">
        <f t="shared" si="1"/>
        <v>0</v>
      </c>
      <c r="L40" s="1">
        <v>300</v>
      </c>
      <c r="M40" s="1">
        <f t="shared" si="2"/>
        <v>300</v>
      </c>
    </row>
    <row r="41" spans="1:18" x14ac:dyDescent="0.35">
      <c r="A41" s="1"/>
      <c r="B41" s="1"/>
      <c r="C41" s="1"/>
      <c r="D41" s="1"/>
      <c r="E41" s="1"/>
      <c r="F41" s="1"/>
      <c r="G41" s="3"/>
      <c r="H41" s="3"/>
      <c r="J41" s="1">
        <v>39</v>
      </c>
      <c r="K41" s="1">
        <f t="shared" si="1"/>
        <v>0</v>
      </c>
      <c r="L41" s="1">
        <v>30</v>
      </c>
      <c r="M41" s="1">
        <f t="shared" si="2"/>
        <v>30</v>
      </c>
    </row>
    <row r="42" spans="1:18" x14ac:dyDescent="0.35">
      <c r="A42" s="1"/>
      <c r="B42" s="1"/>
      <c r="C42" s="1"/>
      <c r="D42" s="1"/>
      <c r="E42" s="1"/>
      <c r="F42" s="1"/>
      <c r="G42" s="3"/>
      <c r="H42" s="3"/>
      <c r="J42" s="1">
        <v>40</v>
      </c>
      <c r="K42" s="1">
        <f t="shared" si="1"/>
        <v>0</v>
      </c>
      <c r="L42" s="1">
        <v>30</v>
      </c>
      <c r="M42" s="1">
        <f t="shared" si="2"/>
        <v>30</v>
      </c>
    </row>
    <row r="43" spans="1:18" x14ac:dyDescent="0.35">
      <c r="A43" s="1"/>
      <c r="B43" s="1"/>
      <c r="C43" s="1"/>
      <c r="D43" s="1"/>
      <c r="E43" s="1"/>
      <c r="F43" s="1"/>
      <c r="G43" s="3"/>
      <c r="H43" s="3"/>
      <c r="J43" s="1">
        <v>41</v>
      </c>
      <c r="K43" s="1">
        <f t="shared" si="1"/>
        <v>0</v>
      </c>
      <c r="L43" s="1">
        <v>30</v>
      </c>
      <c r="M43" s="1">
        <f t="shared" si="2"/>
        <v>30</v>
      </c>
    </row>
    <row r="44" spans="1:18" x14ac:dyDescent="0.35">
      <c r="A44" s="1"/>
      <c r="B44" s="1"/>
      <c r="C44" s="1"/>
      <c r="D44" s="1"/>
      <c r="E44" s="1"/>
      <c r="F44" s="1"/>
      <c r="G44" s="3"/>
      <c r="H44" s="3"/>
      <c r="J44" s="1">
        <v>42</v>
      </c>
      <c r="K44" s="1">
        <f t="shared" si="1"/>
        <v>0</v>
      </c>
      <c r="L44" s="1">
        <v>30</v>
      </c>
      <c r="M44" s="1">
        <f t="shared" si="2"/>
        <v>30</v>
      </c>
    </row>
    <row r="45" spans="1:18" x14ac:dyDescent="0.35">
      <c r="A45" s="1"/>
      <c r="B45" s="1"/>
      <c r="C45" s="1"/>
      <c r="D45" s="1"/>
      <c r="E45" s="1"/>
      <c r="F45" s="1"/>
      <c r="G45" s="3"/>
      <c r="H45" s="3"/>
    </row>
    <row r="46" spans="1:18" x14ac:dyDescent="0.35">
      <c r="A46" s="1"/>
      <c r="B46" s="1"/>
      <c r="C46" s="1"/>
      <c r="D46" s="1"/>
      <c r="E46" s="1"/>
      <c r="F46" s="1"/>
      <c r="G46" s="3"/>
      <c r="H46" s="3"/>
    </row>
    <row r="47" spans="1:18" x14ac:dyDescent="0.35">
      <c r="A47" s="1"/>
      <c r="B47" s="1"/>
      <c r="C47" s="1"/>
      <c r="D47" s="1"/>
      <c r="E47" s="1"/>
      <c r="F47" s="1"/>
      <c r="G47" s="3"/>
      <c r="H47" s="3"/>
    </row>
    <row r="48" spans="1:18" x14ac:dyDescent="0.35">
      <c r="A48" s="1"/>
      <c r="B48" s="1"/>
      <c r="C48" s="1"/>
      <c r="D48" s="1"/>
      <c r="E48" s="1"/>
      <c r="F48" s="1"/>
      <c r="G48" s="3"/>
      <c r="H48" s="3"/>
    </row>
    <row r="49" spans="1:8" x14ac:dyDescent="0.35">
      <c r="A49" s="1"/>
      <c r="B49" s="1"/>
      <c r="C49" s="1"/>
      <c r="D49" s="1"/>
      <c r="E49" s="1"/>
      <c r="F49" s="1"/>
      <c r="G49" s="3"/>
      <c r="H49" s="3"/>
    </row>
    <row r="50" spans="1:8" x14ac:dyDescent="0.35">
      <c r="A50" s="1"/>
      <c r="B50" s="1"/>
      <c r="C50" s="1"/>
      <c r="D50" s="1"/>
      <c r="E50" s="1"/>
      <c r="F50" s="1"/>
      <c r="G50" s="3"/>
      <c r="H50" s="3"/>
    </row>
  </sheetData>
  <autoFilter ref="J2:M44" xr:uid="{E308898A-1D91-4FB5-B3FE-3C749110CEF0}"/>
  <sortState xmlns:xlrd2="http://schemas.microsoft.com/office/spreadsheetml/2017/richdata2" ref="A8:H56">
    <sortCondition ref="F8:F56"/>
  </sortState>
  <mergeCells count="4">
    <mergeCell ref="J1:M1"/>
    <mergeCell ref="I14:I16"/>
    <mergeCell ref="I21:I29"/>
    <mergeCell ref="I31:I36"/>
  </mergeCells>
  <conditionalFormatting sqref="K3:K44">
    <cfRule type="cellIs" dxfId="6" priority="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66FDBEE-FCFA-47E9-A59B-29AF4C906E51}">
          <x14:formula1>
            <xm:f>'Resumo Contrato Reajustado 2026'!$A$47:$A$89</xm:f>
          </x14:formula1>
          <xm:sqref>F2:F50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C191-8521-4FD1-8163-475348C5CB0F}">
  <dimension ref="A1:U50"/>
  <sheetViews>
    <sheetView workbookViewId="0">
      <selection activeCell="E4" sqref="E4"/>
    </sheetView>
  </sheetViews>
  <sheetFormatPr defaultRowHeight="14.5" x14ac:dyDescent="0.35"/>
  <cols>
    <col min="1" max="1" width="10.7265625" bestFit="1" customWidth="1"/>
    <col min="2" max="2" width="18.81640625" bestFit="1" customWidth="1"/>
    <col min="3" max="3" width="20.26953125" bestFit="1" customWidth="1"/>
    <col min="4" max="4" width="26.26953125" bestFit="1" customWidth="1"/>
    <col min="5" max="5" width="13.1796875" bestFit="1" customWidth="1"/>
    <col min="6" max="6" width="7.1796875" bestFit="1" customWidth="1"/>
    <col min="7" max="7" width="15.453125" bestFit="1" customWidth="1"/>
    <col min="8" max="8" width="17.54296875" bestFit="1" customWidth="1"/>
    <col min="10" max="10" width="6.1796875" bestFit="1" customWidth="1"/>
    <col min="11" max="11" width="22.81640625" bestFit="1" customWidth="1"/>
    <col min="12" max="12" width="20.26953125" bestFit="1" customWidth="1"/>
    <col min="13" max="13" width="8.26953125" bestFit="1" customWidth="1"/>
    <col min="14" max="14" width="13.1796875" bestFit="1" customWidth="1"/>
    <col min="15" max="15" width="20.81640625" bestFit="1" customWidth="1"/>
    <col min="16" max="16" width="19.81640625" bestFit="1" customWidth="1"/>
    <col min="17" max="17" width="17.54296875" bestFit="1" customWidth="1"/>
  </cols>
  <sheetData>
    <row r="1" spans="1:21" ht="17.5" thickBot="1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4</v>
      </c>
      <c r="F1" s="8" t="s">
        <v>3</v>
      </c>
      <c r="G1" s="8" t="s">
        <v>97</v>
      </c>
      <c r="H1" s="8" t="s">
        <v>98</v>
      </c>
      <c r="J1" s="69" t="s">
        <v>99</v>
      </c>
      <c r="K1" s="69"/>
      <c r="L1" s="69"/>
      <c r="M1" s="69"/>
    </row>
    <row r="2" spans="1:21" ht="17.5" thickBot="1" x14ac:dyDescent="0.4">
      <c r="A2" s="6"/>
      <c r="B2" s="1"/>
      <c r="C2" s="1"/>
      <c r="D2" s="1"/>
      <c r="E2" s="1">
        <v>5525</v>
      </c>
      <c r="F2" s="1">
        <v>25</v>
      </c>
      <c r="G2" s="3">
        <f>IF(F2="","",VLOOKUP(F2,'Resumo Contrato Reajustado 2026'!$A$2:$S$43,18,0))</f>
        <v>0.854909056281973</v>
      </c>
      <c r="H2" s="3">
        <f>IF(F2="","",E2*G2)</f>
        <v>4723.3725359579012</v>
      </c>
      <c r="J2" s="5" t="s">
        <v>3</v>
      </c>
      <c r="K2" s="5" t="s">
        <v>103</v>
      </c>
      <c r="L2" s="5" t="s">
        <v>104</v>
      </c>
      <c r="M2" s="5" t="s">
        <v>6</v>
      </c>
      <c r="O2" s="9" t="s">
        <v>105</v>
      </c>
      <c r="P2" s="15">
        <f>SUM(H2:H46)</f>
        <v>4723.3725359579012</v>
      </c>
    </row>
    <row r="3" spans="1:21" x14ac:dyDescent="0.35">
      <c r="A3" s="1"/>
      <c r="B3" s="1"/>
      <c r="C3" s="1"/>
      <c r="D3" s="1"/>
      <c r="E3" s="1"/>
      <c r="F3" s="1"/>
      <c r="G3" s="3" t="str">
        <f>IF(F3="","",VLOOKUP(F3,'Resumo Contrato Reajustado 2026'!$A$2:$S$43,18,0))</f>
        <v/>
      </c>
      <c r="H3" s="3" t="str">
        <f t="shared" ref="H3" si="0">IF(F3="","",E3*G3)</f>
        <v/>
      </c>
      <c r="J3" s="1">
        <v>1</v>
      </c>
      <c r="K3" s="1">
        <f t="shared" ref="K3:K44" si="1">SUMIF($F$2:$F$46,J3,$E$2:$E$46)</f>
        <v>0</v>
      </c>
      <c r="L3" s="1">
        <v>5</v>
      </c>
      <c r="M3" s="1">
        <f>L3-K3</f>
        <v>5</v>
      </c>
    </row>
    <row r="4" spans="1:21" x14ac:dyDescent="0.35">
      <c r="A4" s="1"/>
      <c r="B4" s="1"/>
      <c r="C4" s="1"/>
      <c r="D4" s="1"/>
      <c r="E4" s="1"/>
      <c r="F4" s="1"/>
      <c r="G4" s="3"/>
      <c r="H4" s="3"/>
      <c r="J4" s="1">
        <v>2</v>
      </c>
      <c r="K4" s="1">
        <f t="shared" si="1"/>
        <v>0</v>
      </c>
      <c r="L4" s="1">
        <v>5</v>
      </c>
      <c r="M4" s="1">
        <f t="shared" ref="M4:M44" si="2">L4-K4</f>
        <v>5</v>
      </c>
    </row>
    <row r="5" spans="1:21" x14ac:dyDescent="0.35">
      <c r="A5" s="1"/>
      <c r="B5" s="1"/>
      <c r="C5" s="1"/>
      <c r="D5" s="1"/>
      <c r="E5" s="1"/>
      <c r="F5" s="1"/>
      <c r="G5" s="3"/>
      <c r="H5" s="3"/>
      <c r="J5" s="1">
        <v>3</v>
      </c>
      <c r="K5" s="1">
        <f t="shared" si="1"/>
        <v>0</v>
      </c>
      <c r="L5" s="1">
        <v>5</v>
      </c>
      <c r="M5" s="1">
        <f t="shared" si="2"/>
        <v>5</v>
      </c>
    </row>
    <row r="6" spans="1:21" x14ac:dyDescent="0.35">
      <c r="A6" s="1"/>
      <c r="B6" s="1"/>
      <c r="C6" s="1"/>
      <c r="D6" s="1"/>
      <c r="E6" s="1"/>
      <c r="F6" s="1"/>
      <c r="G6" s="3"/>
      <c r="H6" s="3"/>
      <c r="J6" s="1">
        <v>4</v>
      </c>
      <c r="K6" s="1">
        <f t="shared" si="1"/>
        <v>0</v>
      </c>
      <c r="L6" s="1">
        <v>200</v>
      </c>
      <c r="M6" s="1">
        <f t="shared" si="2"/>
        <v>200</v>
      </c>
    </row>
    <row r="7" spans="1:21" x14ac:dyDescent="0.35">
      <c r="A7" s="1"/>
      <c r="B7" s="1"/>
      <c r="C7" s="1"/>
      <c r="D7" s="1"/>
      <c r="E7" s="1"/>
      <c r="F7" s="1"/>
      <c r="G7" s="3"/>
      <c r="H7" s="3"/>
      <c r="J7" s="1">
        <v>5</v>
      </c>
      <c r="K7" s="1">
        <f t="shared" si="1"/>
        <v>0</v>
      </c>
      <c r="L7" s="1">
        <v>200</v>
      </c>
      <c r="M7" s="1">
        <f t="shared" si="2"/>
        <v>200</v>
      </c>
      <c r="U7" t="s">
        <v>117</v>
      </c>
    </row>
    <row r="8" spans="1:21" x14ac:dyDescent="0.35">
      <c r="A8" s="1"/>
      <c r="B8" s="1"/>
      <c r="C8" s="1"/>
      <c r="D8" s="1"/>
      <c r="E8" s="1"/>
      <c r="F8" s="1"/>
      <c r="G8" s="3"/>
      <c r="H8" s="3"/>
      <c r="J8" s="1">
        <v>6</v>
      </c>
      <c r="K8" s="1">
        <f t="shared" si="1"/>
        <v>0</v>
      </c>
      <c r="L8" s="1">
        <v>300</v>
      </c>
      <c r="M8" s="1">
        <f t="shared" si="2"/>
        <v>300</v>
      </c>
    </row>
    <row r="9" spans="1:21" x14ac:dyDescent="0.35">
      <c r="A9" s="1"/>
      <c r="B9" s="1"/>
      <c r="C9" s="1"/>
      <c r="D9" s="1"/>
      <c r="E9" s="1"/>
      <c r="F9" s="1"/>
      <c r="G9" s="3"/>
      <c r="H9" s="3"/>
      <c r="J9" s="1">
        <v>7</v>
      </c>
      <c r="K9" s="1">
        <f t="shared" si="1"/>
        <v>0</v>
      </c>
      <c r="L9" s="1">
        <v>100</v>
      </c>
      <c r="M9" s="1">
        <f t="shared" si="2"/>
        <v>100</v>
      </c>
    </row>
    <row r="10" spans="1:21" x14ac:dyDescent="0.35">
      <c r="A10" s="1"/>
      <c r="B10" s="1"/>
      <c r="C10" s="1"/>
      <c r="D10" s="1"/>
      <c r="E10" s="1"/>
      <c r="F10" s="1"/>
      <c r="G10" s="3"/>
      <c r="H10" s="3"/>
      <c r="J10" s="1">
        <v>8</v>
      </c>
      <c r="K10" s="1">
        <f t="shared" si="1"/>
        <v>0</v>
      </c>
      <c r="L10" s="1">
        <v>5</v>
      </c>
      <c r="M10" s="1">
        <f t="shared" si="2"/>
        <v>5</v>
      </c>
    </row>
    <row r="11" spans="1:21" x14ac:dyDescent="0.35">
      <c r="A11" s="1"/>
      <c r="B11" s="1"/>
      <c r="C11" s="1"/>
      <c r="D11" s="1"/>
      <c r="E11" s="1"/>
      <c r="F11" s="1"/>
      <c r="G11" s="3"/>
      <c r="H11" s="3"/>
      <c r="J11" s="1">
        <v>9</v>
      </c>
      <c r="K11" s="1">
        <f t="shared" si="1"/>
        <v>0</v>
      </c>
      <c r="L11" s="1">
        <v>200</v>
      </c>
      <c r="M11" s="1">
        <f t="shared" si="2"/>
        <v>200</v>
      </c>
    </row>
    <row r="12" spans="1:21" x14ac:dyDescent="0.35">
      <c r="A12" s="6"/>
      <c r="B12" s="1"/>
      <c r="C12" s="1"/>
      <c r="D12" s="1"/>
      <c r="E12" s="1"/>
      <c r="F12" s="1"/>
      <c r="G12" s="3"/>
      <c r="H12" s="3"/>
      <c r="J12" s="1">
        <v>10</v>
      </c>
      <c r="K12" s="1">
        <f t="shared" si="1"/>
        <v>0</v>
      </c>
      <c r="L12" s="1">
        <v>200</v>
      </c>
      <c r="M12" s="1">
        <f t="shared" si="2"/>
        <v>200</v>
      </c>
    </row>
    <row r="13" spans="1:21" x14ac:dyDescent="0.35">
      <c r="A13" s="1"/>
      <c r="B13" s="1"/>
      <c r="C13" s="1"/>
      <c r="D13" s="1"/>
      <c r="E13" s="1"/>
      <c r="F13" s="1"/>
      <c r="G13" s="3"/>
      <c r="H13" s="3"/>
      <c r="J13" s="1">
        <v>11</v>
      </c>
      <c r="K13" s="1">
        <f t="shared" si="1"/>
        <v>0</v>
      </c>
      <c r="L13" s="1">
        <v>200</v>
      </c>
      <c r="M13" s="1">
        <f t="shared" si="2"/>
        <v>200</v>
      </c>
    </row>
    <row r="14" spans="1:21" x14ac:dyDescent="0.35">
      <c r="A14" s="1"/>
      <c r="B14" s="1"/>
      <c r="C14" s="1"/>
      <c r="D14" s="1"/>
      <c r="E14" s="1"/>
      <c r="F14" s="1"/>
      <c r="G14" s="3"/>
      <c r="H14" s="3"/>
      <c r="I14" s="70"/>
      <c r="J14" s="1">
        <v>12</v>
      </c>
      <c r="K14" s="1">
        <f t="shared" si="1"/>
        <v>0</v>
      </c>
      <c r="L14" s="1">
        <v>100</v>
      </c>
      <c r="M14" s="1">
        <f t="shared" si="2"/>
        <v>100</v>
      </c>
    </row>
    <row r="15" spans="1:21" x14ac:dyDescent="0.35">
      <c r="A15" s="1"/>
      <c r="B15" s="1"/>
      <c r="C15" s="1"/>
      <c r="D15" s="1"/>
      <c r="E15" s="1"/>
      <c r="F15" s="1"/>
      <c r="G15" s="3"/>
      <c r="H15" s="3"/>
      <c r="I15" s="70"/>
      <c r="J15" s="1">
        <v>13</v>
      </c>
      <c r="K15" s="1">
        <f t="shared" si="1"/>
        <v>0</v>
      </c>
      <c r="L15" s="1">
        <v>200</v>
      </c>
      <c r="M15" s="1">
        <f t="shared" si="2"/>
        <v>200</v>
      </c>
    </row>
    <row r="16" spans="1:21" x14ac:dyDescent="0.35">
      <c r="A16" s="1"/>
      <c r="B16" s="1"/>
      <c r="C16" s="1"/>
      <c r="D16" s="1"/>
      <c r="E16" s="1"/>
      <c r="F16" s="1"/>
      <c r="G16" s="3"/>
      <c r="H16" s="3"/>
      <c r="I16" s="70"/>
      <c r="J16" s="1">
        <v>14</v>
      </c>
      <c r="K16" s="1">
        <f t="shared" si="1"/>
        <v>0</v>
      </c>
      <c r="L16" s="1">
        <v>200</v>
      </c>
      <c r="M16" s="1">
        <f t="shared" si="2"/>
        <v>200</v>
      </c>
      <c r="P16" s="25"/>
    </row>
    <row r="17" spans="1:15" x14ac:dyDescent="0.35">
      <c r="A17" s="1"/>
      <c r="B17" s="1"/>
      <c r="C17" s="1"/>
      <c r="D17" s="1"/>
      <c r="E17" s="1"/>
      <c r="F17" s="1"/>
      <c r="G17" s="3"/>
      <c r="H17" s="3"/>
      <c r="J17" s="1">
        <v>15</v>
      </c>
      <c r="K17" s="1">
        <f t="shared" si="1"/>
        <v>0</v>
      </c>
      <c r="L17" s="1">
        <v>300</v>
      </c>
      <c r="M17" s="1">
        <f t="shared" si="2"/>
        <v>300</v>
      </c>
    </row>
    <row r="18" spans="1:15" x14ac:dyDescent="0.35">
      <c r="A18" s="1"/>
      <c r="B18" s="1"/>
      <c r="C18" s="1"/>
      <c r="D18" s="1"/>
      <c r="E18" s="1"/>
      <c r="F18" s="1"/>
      <c r="G18" s="3"/>
      <c r="H18" s="3"/>
      <c r="J18" s="1">
        <v>16</v>
      </c>
      <c r="K18" s="1">
        <f t="shared" si="1"/>
        <v>0</v>
      </c>
      <c r="L18" s="1">
        <v>200</v>
      </c>
      <c r="M18" s="1">
        <f t="shared" si="2"/>
        <v>200</v>
      </c>
    </row>
    <row r="19" spans="1:15" x14ac:dyDescent="0.35">
      <c r="A19" s="1"/>
      <c r="B19" s="1"/>
      <c r="C19" s="1"/>
      <c r="D19" s="1"/>
      <c r="E19" s="1"/>
      <c r="F19" s="1"/>
      <c r="G19" s="3"/>
      <c r="H19" s="3"/>
      <c r="J19" s="1">
        <v>17</v>
      </c>
      <c r="K19" s="1">
        <f t="shared" si="1"/>
        <v>0</v>
      </c>
      <c r="L19" s="1">
        <v>200</v>
      </c>
      <c r="M19" s="1">
        <f t="shared" si="2"/>
        <v>200</v>
      </c>
      <c r="O19" s="25"/>
    </row>
    <row r="20" spans="1:15" x14ac:dyDescent="0.35">
      <c r="A20" s="1"/>
      <c r="B20" s="1"/>
      <c r="C20" s="1"/>
      <c r="D20" s="1"/>
      <c r="E20" s="1"/>
      <c r="F20" s="1"/>
      <c r="G20" s="3"/>
      <c r="H20" s="3"/>
      <c r="J20" s="1">
        <v>18</v>
      </c>
      <c r="K20" s="1">
        <f t="shared" si="1"/>
        <v>0</v>
      </c>
      <c r="L20" s="1">
        <v>500</v>
      </c>
      <c r="M20" s="1">
        <f t="shared" si="2"/>
        <v>500</v>
      </c>
    </row>
    <row r="21" spans="1:15" x14ac:dyDescent="0.35">
      <c r="A21" s="1"/>
      <c r="B21" s="1"/>
      <c r="C21" s="1"/>
      <c r="D21" s="1"/>
      <c r="E21" s="1"/>
      <c r="F21" s="1"/>
      <c r="G21" s="3"/>
      <c r="H21" s="3"/>
      <c r="I21" s="70"/>
      <c r="J21" s="1">
        <v>19</v>
      </c>
      <c r="K21" s="1">
        <f t="shared" si="1"/>
        <v>0</v>
      </c>
      <c r="L21" s="1">
        <v>80000</v>
      </c>
      <c r="M21" s="1">
        <f t="shared" si="2"/>
        <v>80000</v>
      </c>
    </row>
    <row r="22" spans="1:15" x14ac:dyDescent="0.35">
      <c r="A22" s="1"/>
      <c r="B22" s="1"/>
      <c r="C22" s="1"/>
      <c r="D22" s="1"/>
      <c r="E22" s="1"/>
      <c r="F22" s="1"/>
      <c r="G22" s="3"/>
      <c r="H22" s="3"/>
      <c r="I22" s="70"/>
      <c r="J22" s="1">
        <v>20</v>
      </c>
      <c r="K22" s="1">
        <f t="shared" si="1"/>
        <v>0</v>
      </c>
      <c r="L22" s="1">
        <v>500</v>
      </c>
      <c r="M22" s="1">
        <f t="shared" si="2"/>
        <v>500</v>
      </c>
    </row>
    <row r="23" spans="1:15" x14ac:dyDescent="0.35">
      <c r="A23" s="1"/>
      <c r="B23" s="1"/>
      <c r="C23" s="1"/>
      <c r="D23" s="1"/>
      <c r="E23" s="1"/>
      <c r="F23" s="1"/>
      <c r="G23" s="3"/>
      <c r="H23" s="3"/>
      <c r="I23" s="70"/>
      <c r="J23" s="1">
        <v>21</v>
      </c>
      <c r="K23" s="1">
        <f t="shared" si="1"/>
        <v>0</v>
      </c>
      <c r="L23" s="1">
        <v>50000</v>
      </c>
      <c r="M23" s="1">
        <f t="shared" si="2"/>
        <v>50000</v>
      </c>
    </row>
    <row r="24" spans="1:15" x14ac:dyDescent="0.35">
      <c r="A24" s="1"/>
      <c r="B24" s="1"/>
      <c r="C24" s="1"/>
      <c r="D24" s="1"/>
      <c r="E24" s="1"/>
      <c r="F24" s="1"/>
      <c r="G24" s="3"/>
      <c r="H24" s="3"/>
      <c r="I24" s="70"/>
      <c r="J24" s="1">
        <v>22</v>
      </c>
      <c r="K24" s="1">
        <f t="shared" si="1"/>
        <v>0</v>
      </c>
      <c r="L24" s="1">
        <v>500</v>
      </c>
      <c r="M24" s="1">
        <f t="shared" si="2"/>
        <v>500</v>
      </c>
    </row>
    <row r="25" spans="1:15" x14ac:dyDescent="0.35">
      <c r="A25" s="1"/>
      <c r="B25" s="1"/>
      <c r="C25" s="1"/>
      <c r="D25" s="1"/>
      <c r="E25" s="1"/>
      <c r="F25" s="1"/>
      <c r="G25" s="3"/>
      <c r="H25" s="3"/>
      <c r="I25" s="70"/>
      <c r="J25" s="1">
        <v>23</v>
      </c>
      <c r="K25" s="1">
        <f t="shared" si="1"/>
        <v>0</v>
      </c>
      <c r="L25" s="1">
        <v>80000</v>
      </c>
      <c r="M25" s="1">
        <f t="shared" si="2"/>
        <v>80000</v>
      </c>
    </row>
    <row r="26" spans="1:15" x14ac:dyDescent="0.35">
      <c r="A26" s="1"/>
      <c r="B26" s="1"/>
      <c r="C26" s="1"/>
      <c r="D26" s="1"/>
      <c r="E26" s="1"/>
      <c r="F26" s="1"/>
      <c r="G26" s="3"/>
      <c r="H26" s="3"/>
      <c r="I26" s="70"/>
      <c r="J26" s="1">
        <v>24</v>
      </c>
      <c r="K26" s="1">
        <f t="shared" si="1"/>
        <v>0</v>
      </c>
      <c r="L26" s="1">
        <v>500</v>
      </c>
      <c r="M26" s="1">
        <f t="shared" si="2"/>
        <v>500</v>
      </c>
    </row>
    <row r="27" spans="1:15" x14ac:dyDescent="0.35">
      <c r="A27" s="1"/>
      <c r="B27" s="1"/>
      <c r="C27" s="1"/>
      <c r="D27" s="1"/>
      <c r="E27" s="1"/>
      <c r="F27" s="1"/>
      <c r="G27" s="3"/>
      <c r="H27" s="3"/>
      <c r="I27" s="70"/>
      <c r="J27" s="1">
        <v>25</v>
      </c>
      <c r="K27" s="1">
        <f t="shared" si="1"/>
        <v>5525</v>
      </c>
      <c r="L27" s="1">
        <v>50000</v>
      </c>
      <c r="M27" s="1">
        <f t="shared" si="2"/>
        <v>44475</v>
      </c>
    </row>
    <row r="28" spans="1:15" x14ac:dyDescent="0.35">
      <c r="A28" s="1"/>
      <c r="B28" s="1"/>
      <c r="C28" s="1"/>
      <c r="D28" s="1"/>
      <c r="E28" s="1"/>
      <c r="F28" s="1"/>
      <c r="G28" s="3"/>
      <c r="H28" s="3"/>
      <c r="I28" s="70"/>
      <c r="J28" s="1">
        <v>26</v>
      </c>
      <c r="K28" s="1">
        <f t="shared" si="1"/>
        <v>0</v>
      </c>
      <c r="L28" s="1">
        <v>300</v>
      </c>
      <c r="M28" s="1">
        <f t="shared" si="2"/>
        <v>300</v>
      </c>
    </row>
    <row r="29" spans="1:15" x14ac:dyDescent="0.35">
      <c r="A29" s="1"/>
      <c r="B29" s="1"/>
      <c r="C29" s="1"/>
      <c r="D29" s="1"/>
      <c r="E29" s="1"/>
      <c r="F29" s="1"/>
      <c r="G29" s="3"/>
      <c r="H29" s="3"/>
      <c r="I29" s="70"/>
      <c r="J29" s="1">
        <v>27</v>
      </c>
      <c r="K29" s="1">
        <f t="shared" si="1"/>
        <v>0</v>
      </c>
      <c r="L29" s="1">
        <v>300</v>
      </c>
      <c r="M29" s="1">
        <f t="shared" si="2"/>
        <v>300</v>
      </c>
    </row>
    <row r="30" spans="1:15" x14ac:dyDescent="0.35">
      <c r="A30" s="1"/>
      <c r="B30" s="1"/>
      <c r="C30" s="1"/>
      <c r="D30" s="1"/>
      <c r="E30" s="1"/>
      <c r="F30" s="1"/>
      <c r="G30" s="3"/>
      <c r="H30" s="3"/>
      <c r="J30" s="1">
        <v>28</v>
      </c>
      <c r="K30" s="1">
        <f t="shared" si="1"/>
        <v>0</v>
      </c>
      <c r="L30" s="1">
        <v>300</v>
      </c>
      <c r="M30" s="1">
        <f t="shared" si="2"/>
        <v>300</v>
      </c>
    </row>
    <row r="31" spans="1:15" x14ac:dyDescent="0.35">
      <c r="A31" s="1"/>
      <c r="B31" s="1"/>
      <c r="C31" s="1"/>
      <c r="D31" s="1"/>
      <c r="E31" s="1"/>
      <c r="F31" s="1"/>
      <c r="G31" s="3"/>
      <c r="H31" s="3"/>
      <c r="I31" s="70"/>
      <c r="J31" s="1">
        <v>29</v>
      </c>
      <c r="K31" s="1">
        <f t="shared" si="1"/>
        <v>0</v>
      </c>
      <c r="L31" s="1">
        <v>300</v>
      </c>
      <c r="M31" s="1">
        <f t="shared" si="2"/>
        <v>300</v>
      </c>
    </row>
    <row r="32" spans="1:15" ht="15" customHeight="1" x14ac:dyDescent="0.35">
      <c r="A32" s="1"/>
      <c r="B32" s="1"/>
      <c r="C32" s="1"/>
      <c r="D32" s="1"/>
      <c r="E32" s="1"/>
      <c r="F32" s="1"/>
      <c r="G32" s="3"/>
      <c r="H32" s="3"/>
      <c r="I32" s="70"/>
      <c r="J32" s="1">
        <v>30</v>
      </c>
      <c r="K32" s="1">
        <f t="shared" si="1"/>
        <v>0</v>
      </c>
      <c r="L32" s="1">
        <v>300</v>
      </c>
      <c r="M32" s="1">
        <f t="shared" si="2"/>
        <v>300</v>
      </c>
    </row>
    <row r="33" spans="1:18" ht="15" customHeight="1" x14ac:dyDescent="0.35">
      <c r="A33" s="1"/>
      <c r="B33" s="1"/>
      <c r="C33" s="1"/>
      <c r="D33" s="1"/>
      <c r="E33" s="1"/>
      <c r="F33" s="1"/>
      <c r="G33" s="3"/>
      <c r="H33" s="3"/>
      <c r="I33" s="70"/>
      <c r="J33" s="1">
        <v>31</v>
      </c>
      <c r="K33" s="1">
        <f t="shared" si="1"/>
        <v>0</v>
      </c>
      <c r="L33" s="1">
        <v>300</v>
      </c>
      <c r="M33" s="1">
        <f t="shared" si="2"/>
        <v>300</v>
      </c>
    </row>
    <row r="34" spans="1:18" ht="15" customHeight="1" x14ac:dyDescent="0.35">
      <c r="A34" s="1"/>
      <c r="B34" s="1"/>
      <c r="C34" s="1"/>
      <c r="D34" s="1"/>
      <c r="E34" s="1"/>
      <c r="F34" s="1"/>
      <c r="G34" s="3"/>
      <c r="H34" s="3"/>
      <c r="I34" s="70"/>
      <c r="J34" s="1">
        <v>32</v>
      </c>
      <c r="K34" s="1">
        <f t="shared" si="1"/>
        <v>0</v>
      </c>
      <c r="L34" s="1">
        <v>300</v>
      </c>
      <c r="M34" s="1">
        <f t="shared" si="2"/>
        <v>300</v>
      </c>
      <c r="R34">
        <f>P34-Q34</f>
        <v>0</v>
      </c>
    </row>
    <row r="35" spans="1:18" ht="15" customHeight="1" x14ac:dyDescent="0.35">
      <c r="A35" s="1"/>
      <c r="B35" s="1"/>
      <c r="C35" s="1"/>
      <c r="D35" s="1"/>
      <c r="E35" s="1"/>
      <c r="F35" s="1"/>
      <c r="G35" s="3"/>
      <c r="H35" s="3"/>
      <c r="I35" s="70"/>
      <c r="J35" s="1">
        <v>33</v>
      </c>
      <c r="K35" s="1">
        <f t="shared" si="1"/>
        <v>0</v>
      </c>
      <c r="L35" s="1">
        <v>200</v>
      </c>
      <c r="M35" s="1">
        <f t="shared" si="2"/>
        <v>200</v>
      </c>
    </row>
    <row r="36" spans="1:18" ht="15" customHeight="1" x14ac:dyDescent="0.35">
      <c r="A36" s="1"/>
      <c r="B36" s="1"/>
      <c r="C36" s="1"/>
      <c r="D36" s="1"/>
      <c r="E36" s="1"/>
      <c r="F36" s="1"/>
      <c r="G36" s="3"/>
      <c r="H36" s="3"/>
      <c r="I36" s="70"/>
      <c r="J36" s="1">
        <v>34</v>
      </c>
      <c r="K36" s="1">
        <f t="shared" si="1"/>
        <v>0</v>
      </c>
      <c r="L36" s="1">
        <v>200</v>
      </c>
      <c r="M36" s="1">
        <f t="shared" si="2"/>
        <v>200</v>
      </c>
      <c r="R36">
        <f>P36-Q36</f>
        <v>0</v>
      </c>
    </row>
    <row r="37" spans="1:18" x14ac:dyDescent="0.35">
      <c r="A37" s="1"/>
      <c r="B37" s="1"/>
      <c r="C37" s="1"/>
      <c r="D37" s="1"/>
      <c r="E37" s="1"/>
      <c r="F37" s="1"/>
      <c r="G37" s="3"/>
      <c r="H37" s="3"/>
      <c r="J37" s="1">
        <v>35</v>
      </c>
      <c r="K37" s="1">
        <f t="shared" si="1"/>
        <v>0</v>
      </c>
      <c r="L37" s="1">
        <v>200</v>
      </c>
      <c r="M37" s="1">
        <f t="shared" si="2"/>
        <v>200</v>
      </c>
      <c r="R37">
        <f>P37-Q37</f>
        <v>0</v>
      </c>
    </row>
    <row r="38" spans="1:18" x14ac:dyDescent="0.35">
      <c r="A38" s="1"/>
      <c r="B38" s="1"/>
      <c r="C38" s="1"/>
      <c r="D38" s="1"/>
      <c r="E38" s="1"/>
      <c r="F38" s="1"/>
      <c r="G38" s="3"/>
      <c r="H38" s="3"/>
      <c r="J38" s="1">
        <v>36</v>
      </c>
      <c r="K38" s="1">
        <f t="shared" si="1"/>
        <v>0</v>
      </c>
      <c r="L38" s="1">
        <v>5000</v>
      </c>
      <c r="M38" s="1">
        <f t="shared" si="2"/>
        <v>5000</v>
      </c>
      <c r="R38">
        <f>P38-Q38</f>
        <v>0</v>
      </c>
    </row>
    <row r="39" spans="1:18" x14ac:dyDescent="0.35">
      <c r="A39" s="1"/>
      <c r="B39" s="1"/>
      <c r="C39" s="1"/>
      <c r="D39" s="1"/>
      <c r="E39" s="1"/>
      <c r="F39" s="1"/>
      <c r="G39" s="3"/>
      <c r="H39" s="3"/>
      <c r="J39" s="1">
        <v>37</v>
      </c>
      <c r="K39" s="1">
        <f t="shared" si="1"/>
        <v>0</v>
      </c>
      <c r="L39" s="1">
        <v>300</v>
      </c>
      <c r="M39" s="1">
        <f t="shared" si="2"/>
        <v>300</v>
      </c>
    </row>
    <row r="40" spans="1:18" x14ac:dyDescent="0.35">
      <c r="A40" s="1"/>
      <c r="B40" s="1"/>
      <c r="C40" s="1"/>
      <c r="D40" s="1"/>
      <c r="E40" s="1"/>
      <c r="F40" s="1"/>
      <c r="G40" s="3"/>
      <c r="H40" s="3"/>
      <c r="J40" s="1">
        <v>38</v>
      </c>
      <c r="K40" s="1">
        <f t="shared" si="1"/>
        <v>0</v>
      </c>
      <c r="L40" s="1">
        <v>300</v>
      </c>
      <c r="M40" s="1">
        <f t="shared" si="2"/>
        <v>300</v>
      </c>
    </row>
    <row r="41" spans="1:18" x14ac:dyDescent="0.35">
      <c r="A41" s="1"/>
      <c r="B41" s="1"/>
      <c r="C41" s="1"/>
      <c r="D41" s="1"/>
      <c r="E41" s="1"/>
      <c r="F41" s="1"/>
      <c r="G41" s="3"/>
      <c r="H41" s="3"/>
      <c r="J41" s="1">
        <v>39</v>
      </c>
      <c r="K41" s="1">
        <f t="shared" si="1"/>
        <v>0</v>
      </c>
      <c r="L41" s="1">
        <v>30</v>
      </c>
      <c r="M41" s="1">
        <f t="shared" si="2"/>
        <v>30</v>
      </c>
    </row>
    <row r="42" spans="1:18" x14ac:dyDescent="0.35">
      <c r="A42" s="1"/>
      <c r="B42" s="1"/>
      <c r="C42" s="1"/>
      <c r="D42" s="1"/>
      <c r="E42" s="1"/>
      <c r="F42" s="1"/>
      <c r="G42" s="3"/>
      <c r="H42" s="3"/>
      <c r="J42" s="1">
        <v>40</v>
      </c>
      <c r="K42" s="1">
        <f t="shared" si="1"/>
        <v>0</v>
      </c>
      <c r="L42" s="1">
        <v>30</v>
      </c>
      <c r="M42" s="1">
        <f t="shared" si="2"/>
        <v>30</v>
      </c>
    </row>
    <row r="43" spans="1:18" x14ac:dyDescent="0.35">
      <c r="A43" s="1"/>
      <c r="B43" s="1"/>
      <c r="C43" s="1"/>
      <c r="D43" s="1"/>
      <c r="E43" s="1"/>
      <c r="F43" s="1"/>
      <c r="G43" s="3"/>
      <c r="H43" s="3"/>
      <c r="J43" s="1">
        <v>41</v>
      </c>
      <c r="K43" s="1">
        <f t="shared" si="1"/>
        <v>0</v>
      </c>
      <c r="L43" s="1">
        <v>30</v>
      </c>
      <c r="M43" s="1">
        <f t="shared" si="2"/>
        <v>30</v>
      </c>
    </row>
    <row r="44" spans="1:18" x14ac:dyDescent="0.35">
      <c r="A44" s="1"/>
      <c r="B44" s="1"/>
      <c r="C44" s="1"/>
      <c r="D44" s="1"/>
      <c r="E44" s="1"/>
      <c r="F44" s="1"/>
      <c r="G44" s="3"/>
      <c r="H44" s="3"/>
      <c r="J44" s="1">
        <v>42</v>
      </c>
      <c r="K44" s="1">
        <f t="shared" si="1"/>
        <v>0</v>
      </c>
      <c r="L44" s="1">
        <v>30</v>
      </c>
      <c r="M44" s="1">
        <f t="shared" si="2"/>
        <v>30</v>
      </c>
    </row>
    <row r="45" spans="1:18" x14ac:dyDescent="0.35">
      <c r="A45" s="1"/>
      <c r="B45" s="1"/>
      <c r="C45" s="1"/>
      <c r="D45" s="1"/>
      <c r="E45" s="1"/>
      <c r="F45" s="1"/>
      <c r="G45" s="3"/>
      <c r="H45" s="3"/>
    </row>
    <row r="46" spans="1:18" x14ac:dyDescent="0.35">
      <c r="A46" s="1"/>
      <c r="B46" s="1"/>
      <c r="C46" s="1"/>
      <c r="D46" s="1"/>
      <c r="E46" s="1"/>
      <c r="F46" s="1"/>
      <c r="G46" s="3"/>
      <c r="H46" s="3"/>
    </row>
    <row r="47" spans="1:18" x14ac:dyDescent="0.35">
      <c r="A47" s="1"/>
      <c r="B47" s="1"/>
      <c r="C47" s="1"/>
      <c r="D47" s="1"/>
      <c r="E47" s="1"/>
      <c r="F47" s="1"/>
      <c r="G47" s="3"/>
      <c r="H47" s="3"/>
    </row>
    <row r="48" spans="1:18" x14ac:dyDescent="0.35">
      <c r="A48" s="1"/>
      <c r="B48" s="1"/>
      <c r="C48" s="1"/>
      <c r="D48" s="1"/>
      <c r="E48" s="1"/>
      <c r="F48" s="1"/>
      <c r="G48" s="3"/>
      <c r="H48" s="3"/>
    </row>
    <row r="49" spans="1:8" x14ac:dyDescent="0.35">
      <c r="A49" s="1"/>
      <c r="B49" s="1"/>
      <c r="C49" s="1"/>
      <c r="D49" s="1"/>
      <c r="E49" s="1"/>
      <c r="F49" s="1"/>
      <c r="G49" s="3"/>
      <c r="H49" s="3"/>
    </row>
    <row r="50" spans="1:8" x14ac:dyDescent="0.35">
      <c r="A50" s="1"/>
      <c r="B50" s="1"/>
      <c r="C50" s="1"/>
      <c r="D50" s="1"/>
      <c r="E50" s="1"/>
      <c r="F50" s="1"/>
      <c r="G50" s="3"/>
      <c r="H50" s="3"/>
    </row>
  </sheetData>
  <sortState xmlns:xlrd2="http://schemas.microsoft.com/office/spreadsheetml/2017/richdata2" ref="A2:H50">
    <sortCondition ref="F2:F50"/>
  </sortState>
  <mergeCells count="4">
    <mergeCell ref="J1:M1"/>
    <mergeCell ref="I14:I16"/>
    <mergeCell ref="I21:I29"/>
    <mergeCell ref="I31:I36"/>
  </mergeCells>
  <conditionalFormatting sqref="K3:K44">
    <cfRule type="cellIs" dxfId="5" priority="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EA9C25-8C05-454F-BC88-72ED77174240}">
          <x14:formula1>
            <xm:f>'Resumo Contrato Reajustado 2026'!$A$47:$A$89</xm:f>
          </x14:formula1>
          <xm:sqref>F2:F50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7B1D-3098-40B0-B505-92EA74699D82}">
  <dimension ref="A1:S43"/>
  <sheetViews>
    <sheetView topLeftCell="E1" workbookViewId="0">
      <pane ySplit="1" topLeftCell="A2" activePane="bottomLeft" state="frozen"/>
      <selection pane="bottomLeft" activeCell="N2" sqref="N2"/>
    </sheetView>
  </sheetViews>
  <sheetFormatPr defaultRowHeight="14.5" x14ac:dyDescent="0.35"/>
  <cols>
    <col min="1" max="1" width="10.26953125" bestFit="1" customWidth="1"/>
    <col min="2" max="2" width="123.26953125" customWidth="1"/>
    <col min="3" max="3" width="13.1796875" bestFit="1" customWidth="1"/>
    <col min="4" max="4" width="13.1796875" customWidth="1"/>
    <col min="5" max="5" width="20.1796875" bestFit="1" customWidth="1"/>
    <col min="6" max="6" width="18.1796875" bestFit="1" customWidth="1"/>
    <col min="7" max="11" width="13.1796875" customWidth="1"/>
    <col min="12" max="12" width="24.54296875" bestFit="1" customWidth="1"/>
    <col min="13" max="13" width="25.1796875" bestFit="1" customWidth="1"/>
    <col min="14" max="14" width="22" bestFit="1" customWidth="1"/>
    <col min="15" max="15" width="15.7265625" bestFit="1" customWidth="1"/>
    <col min="16" max="17" width="15.7265625" customWidth="1"/>
    <col min="18" max="18" width="15.54296875" bestFit="1" customWidth="1"/>
  </cols>
  <sheetData>
    <row r="1" spans="1:19" ht="15.5" x14ac:dyDescent="0.35">
      <c r="A1" s="11" t="s">
        <v>0</v>
      </c>
      <c r="B1" s="11" t="s">
        <v>1</v>
      </c>
      <c r="C1" s="11" t="s">
        <v>423</v>
      </c>
      <c r="D1" s="12" t="s">
        <v>7</v>
      </c>
      <c r="E1" s="12" t="s">
        <v>424</v>
      </c>
      <c r="F1" s="12" t="s">
        <v>7</v>
      </c>
      <c r="G1" s="12" t="s">
        <v>424</v>
      </c>
      <c r="H1" s="12" t="s">
        <v>7</v>
      </c>
      <c r="I1" s="12" t="s">
        <v>424</v>
      </c>
      <c r="J1" s="12" t="s">
        <v>7</v>
      </c>
      <c r="K1" s="12" t="s">
        <v>424</v>
      </c>
      <c r="L1" s="11" t="s">
        <v>2</v>
      </c>
      <c r="M1" s="11" t="s">
        <v>425</v>
      </c>
      <c r="N1" s="11" t="s">
        <v>103</v>
      </c>
      <c r="O1" s="12" t="s">
        <v>426</v>
      </c>
      <c r="P1" s="12" t="s">
        <v>427</v>
      </c>
      <c r="Q1" s="12" t="s">
        <v>428</v>
      </c>
      <c r="R1" s="12" t="s">
        <v>429</v>
      </c>
      <c r="S1">
        <v>0</v>
      </c>
    </row>
    <row r="2" spans="1:19" ht="35" x14ac:dyDescent="0.35">
      <c r="A2" s="10">
        <v>1</v>
      </c>
      <c r="B2" s="13" t="s">
        <v>430</v>
      </c>
      <c r="C2" s="18">
        <v>75</v>
      </c>
      <c r="D2" s="22">
        <v>8.2000000000000003E-2</v>
      </c>
      <c r="E2" s="18">
        <f>C2+C2*D2</f>
        <v>81.150000000000006</v>
      </c>
      <c r="F2" s="23">
        <v>3.5099999999999999E-2</v>
      </c>
      <c r="G2" s="18">
        <f>E2+E2*F2</f>
        <v>83.998365000000007</v>
      </c>
      <c r="H2" s="23">
        <v>3.4500000000000003E-2</v>
      </c>
      <c r="I2" s="18">
        <f>G2+G2*H2</f>
        <v>86.896308592500006</v>
      </c>
      <c r="J2" s="23">
        <v>5.4100000000000002E-2</v>
      </c>
      <c r="K2" s="18">
        <f>I2+I2*J2</f>
        <v>91.59739888735426</v>
      </c>
      <c r="L2" s="10">
        <v>5</v>
      </c>
      <c r="M2" s="24">
        <f>L2*$S$1</f>
        <v>0</v>
      </c>
      <c r="N2" s="10">
        <f>SUM(Janeiro:Março!K3)</f>
        <v>0</v>
      </c>
      <c r="O2" s="24">
        <f>M2-N2</f>
        <v>0</v>
      </c>
      <c r="P2" s="18">
        <f>K2*M2</f>
        <v>0</v>
      </c>
      <c r="Q2" s="18">
        <f>N2*K2</f>
        <v>0</v>
      </c>
      <c r="R2" s="18">
        <f>P2-Q2</f>
        <v>0</v>
      </c>
    </row>
    <row r="3" spans="1:19" ht="35" x14ac:dyDescent="0.35">
      <c r="A3" s="10">
        <v>2</v>
      </c>
      <c r="B3" s="13" t="s">
        <v>431</v>
      </c>
      <c r="C3" s="18">
        <v>85</v>
      </c>
      <c r="D3" s="22">
        <v>8.2000000000000003E-2</v>
      </c>
      <c r="E3" s="18">
        <f t="shared" ref="E3:E43" si="0">C3+C3*D3</f>
        <v>91.97</v>
      </c>
      <c r="F3" s="23">
        <v>3.5099999999999999E-2</v>
      </c>
      <c r="G3" s="18">
        <f t="shared" ref="G3:G43" si="1">E3+E3*F3</f>
        <v>95.198147000000006</v>
      </c>
      <c r="H3" s="23">
        <v>3.4500000000000003E-2</v>
      </c>
      <c r="I3" s="18">
        <f t="shared" ref="I3:I43" si="2">G3+G3*H3</f>
        <v>98.482483071500013</v>
      </c>
      <c r="J3" s="23">
        <v>5.4100000000000002E-2</v>
      </c>
      <c r="K3" s="18">
        <f t="shared" ref="K3:K43" si="3">I3+I3*J3</f>
        <v>103.81038540566817</v>
      </c>
      <c r="L3" s="10">
        <v>5</v>
      </c>
      <c r="M3" s="24">
        <f t="shared" ref="M3:M43" si="4">L3*$S$1</f>
        <v>0</v>
      </c>
      <c r="N3" s="10">
        <f>SUM(Janeiro:Março!K4)</f>
        <v>5</v>
      </c>
      <c r="O3" s="24">
        <f t="shared" ref="O3:O43" si="5">M3-N3</f>
        <v>-5</v>
      </c>
      <c r="P3" s="18">
        <f t="shared" ref="P3:P43" si="6">K3*M3</f>
        <v>0</v>
      </c>
      <c r="Q3" s="18">
        <f t="shared" ref="Q3:Q43" si="7">N3*K3</f>
        <v>519.05192702834086</v>
      </c>
      <c r="R3" s="18">
        <f t="shared" ref="R3:R43" si="8">P3-Q3</f>
        <v>-519.05192702834086</v>
      </c>
    </row>
    <row r="4" spans="1:19" ht="35" x14ac:dyDescent="0.35">
      <c r="A4" s="10">
        <v>3</v>
      </c>
      <c r="B4" s="13" t="s">
        <v>432</v>
      </c>
      <c r="C4" s="18">
        <v>120</v>
      </c>
      <c r="D4" s="22">
        <v>8.2000000000000003E-2</v>
      </c>
      <c r="E4" s="18">
        <f t="shared" si="0"/>
        <v>129.84</v>
      </c>
      <c r="F4" s="23">
        <v>3.5099999999999999E-2</v>
      </c>
      <c r="G4" s="18">
        <f t="shared" si="1"/>
        <v>134.39738400000002</v>
      </c>
      <c r="H4" s="23">
        <v>3.4500000000000003E-2</v>
      </c>
      <c r="I4" s="18">
        <f t="shared" si="2"/>
        <v>139.03409374800003</v>
      </c>
      <c r="J4" s="23">
        <v>5.4100000000000002E-2</v>
      </c>
      <c r="K4" s="18">
        <f t="shared" si="3"/>
        <v>146.55583821976683</v>
      </c>
      <c r="L4" s="10">
        <v>5</v>
      </c>
      <c r="M4" s="24">
        <f t="shared" si="4"/>
        <v>0</v>
      </c>
      <c r="N4" s="10">
        <f>SUM(Janeiro:Março!K5)</f>
        <v>0</v>
      </c>
      <c r="O4" s="24">
        <f t="shared" si="5"/>
        <v>0</v>
      </c>
      <c r="P4" s="18">
        <f t="shared" si="6"/>
        <v>0</v>
      </c>
      <c r="Q4" s="18">
        <f t="shared" si="7"/>
        <v>0</v>
      </c>
      <c r="R4" s="18">
        <f t="shared" si="8"/>
        <v>0</v>
      </c>
    </row>
    <row r="5" spans="1:19" ht="17.5" x14ac:dyDescent="0.35">
      <c r="A5" s="10">
        <v>4</v>
      </c>
      <c r="B5" s="13" t="s">
        <v>433</v>
      </c>
      <c r="C5" s="18">
        <v>0.9</v>
      </c>
      <c r="D5" s="22">
        <v>8.2000000000000003E-2</v>
      </c>
      <c r="E5" s="18">
        <f t="shared" si="0"/>
        <v>0.9738</v>
      </c>
      <c r="F5" s="23">
        <v>3.5099999999999999E-2</v>
      </c>
      <c r="G5" s="18">
        <f t="shared" si="1"/>
        <v>1.00798038</v>
      </c>
      <c r="H5" s="23">
        <v>3.4500000000000003E-2</v>
      </c>
      <c r="I5" s="18">
        <f t="shared" si="2"/>
        <v>1.0427557031100001</v>
      </c>
      <c r="J5" s="23">
        <v>5.4100000000000002E-2</v>
      </c>
      <c r="K5" s="18">
        <f t="shared" si="3"/>
        <v>1.0991687866482511</v>
      </c>
      <c r="L5" s="10">
        <v>200</v>
      </c>
      <c r="M5" s="24">
        <f t="shared" si="4"/>
        <v>0</v>
      </c>
      <c r="N5" s="10">
        <f>SUM(Janeiro:Março!K6)</f>
        <v>358</v>
      </c>
      <c r="O5" s="24">
        <f t="shared" si="5"/>
        <v>-358</v>
      </c>
      <c r="P5" s="18">
        <f t="shared" si="6"/>
        <v>0</v>
      </c>
      <c r="Q5" s="18">
        <f t="shared" si="7"/>
        <v>393.50242562007389</v>
      </c>
      <c r="R5" s="18">
        <f t="shared" si="8"/>
        <v>-393.50242562007389</v>
      </c>
    </row>
    <row r="6" spans="1:19" ht="17.5" x14ac:dyDescent="0.35">
      <c r="A6" s="10">
        <v>5</v>
      </c>
      <c r="B6" s="13" t="s">
        <v>434</v>
      </c>
      <c r="C6" s="18">
        <v>0.9</v>
      </c>
      <c r="D6" s="22">
        <v>8.2000000000000003E-2</v>
      </c>
      <c r="E6" s="18">
        <f t="shared" si="0"/>
        <v>0.9738</v>
      </c>
      <c r="F6" s="23">
        <v>3.5099999999999999E-2</v>
      </c>
      <c r="G6" s="18">
        <f t="shared" si="1"/>
        <v>1.00798038</v>
      </c>
      <c r="H6" s="23">
        <v>3.4500000000000003E-2</v>
      </c>
      <c r="I6" s="18">
        <f t="shared" si="2"/>
        <v>1.0427557031100001</v>
      </c>
      <c r="J6" s="23">
        <v>5.4100000000000002E-2</v>
      </c>
      <c r="K6" s="18">
        <f t="shared" si="3"/>
        <v>1.0991687866482511</v>
      </c>
      <c r="L6" s="10">
        <v>200</v>
      </c>
      <c r="M6" s="24">
        <f t="shared" si="4"/>
        <v>0</v>
      </c>
      <c r="N6" s="10">
        <f>SUM(Janeiro:Março!K7)</f>
        <v>166</v>
      </c>
      <c r="O6" s="24">
        <f t="shared" si="5"/>
        <v>-166</v>
      </c>
      <c r="P6" s="18">
        <f t="shared" si="6"/>
        <v>0</v>
      </c>
      <c r="Q6" s="18">
        <f t="shared" si="7"/>
        <v>182.46201858360968</v>
      </c>
      <c r="R6" s="18">
        <f t="shared" si="8"/>
        <v>-182.46201858360968</v>
      </c>
    </row>
    <row r="7" spans="1:19" ht="17.5" x14ac:dyDescent="0.35">
      <c r="A7" s="10">
        <v>6</v>
      </c>
      <c r="B7" s="13" t="s">
        <v>435</v>
      </c>
      <c r="C7" s="18">
        <v>0.12</v>
      </c>
      <c r="D7" s="22">
        <v>8.2000000000000003E-2</v>
      </c>
      <c r="E7" s="18">
        <f t="shared" si="0"/>
        <v>0.12983999999999998</v>
      </c>
      <c r="F7" s="23">
        <v>3.5099999999999999E-2</v>
      </c>
      <c r="G7" s="18">
        <f t="shared" si="1"/>
        <v>0.13439738399999998</v>
      </c>
      <c r="H7" s="23">
        <v>3.4500000000000003E-2</v>
      </c>
      <c r="I7" s="18">
        <f t="shared" si="2"/>
        <v>0.13903409374799999</v>
      </c>
      <c r="J7" s="23">
        <v>5.4100000000000002E-2</v>
      </c>
      <c r="K7" s="18">
        <f t="shared" si="3"/>
        <v>0.14655583821976678</v>
      </c>
      <c r="L7" s="10">
        <v>300</v>
      </c>
      <c r="M7" s="24">
        <f t="shared" si="4"/>
        <v>0</v>
      </c>
      <c r="N7" s="10">
        <f>SUM(Janeiro:Março!K8)</f>
        <v>0</v>
      </c>
      <c r="O7" s="24">
        <f t="shared" si="5"/>
        <v>0</v>
      </c>
      <c r="P7" s="18">
        <f t="shared" si="6"/>
        <v>0</v>
      </c>
      <c r="Q7" s="18">
        <f t="shared" si="7"/>
        <v>0</v>
      </c>
      <c r="R7" s="18">
        <f t="shared" si="8"/>
        <v>0</v>
      </c>
    </row>
    <row r="8" spans="1:19" ht="35" x14ac:dyDescent="0.35">
      <c r="A8" s="10">
        <v>7</v>
      </c>
      <c r="B8" s="13" t="s">
        <v>436</v>
      </c>
      <c r="C8" s="18">
        <v>2</v>
      </c>
      <c r="D8" s="22">
        <v>8.2000000000000003E-2</v>
      </c>
      <c r="E8" s="18">
        <f t="shared" si="0"/>
        <v>2.1640000000000001</v>
      </c>
      <c r="F8" s="23">
        <v>3.5099999999999999E-2</v>
      </c>
      <c r="G8" s="18">
        <f t="shared" si="1"/>
        <v>2.2399564000000001</v>
      </c>
      <c r="H8" s="23">
        <v>3.4500000000000003E-2</v>
      </c>
      <c r="I8" s="18">
        <f t="shared" si="2"/>
        <v>2.3172348958</v>
      </c>
      <c r="J8" s="23">
        <v>5.4100000000000002E-2</v>
      </c>
      <c r="K8" s="18">
        <f t="shared" si="3"/>
        <v>2.4425973036627799</v>
      </c>
      <c r="L8" s="10">
        <v>100</v>
      </c>
      <c r="M8" s="24">
        <f t="shared" si="4"/>
        <v>0</v>
      </c>
      <c r="N8" s="10">
        <f>SUM(Janeiro:Março!K9)</f>
        <v>0</v>
      </c>
      <c r="O8" s="24">
        <f t="shared" si="5"/>
        <v>0</v>
      </c>
      <c r="P8" s="18">
        <f t="shared" si="6"/>
        <v>0</v>
      </c>
      <c r="Q8" s="18">
        <f t="shared" si="7"/>
        <v>0</v>
      </c>
      <c r="R8" s="18">
        <f t="shared" si="8"/>
        <v>0</v>
      </c>
    </row>
    <row r="9" spans="1:19" ht="17.5" x14ac:dyDescent="0.35">
      <c r="A9" s="10">
        <v>8</v>
      </c>
      <c r="B9" s="13" t="s">
        <v>437</v>
      </c>
      <c r="C9" s="18">
        <v>12</v>
      </c>
      <c r="D9" s="22">
        <v>8.2000000000000003E-2</v>
      </c>
      <c r="E9" s="18">
        <f t="shared" si="0"/>
        <v>12.984</v>
      </c>
      <c r="F9" s="23">
        <v>3.5099999999999999E-2</v>
      </c>
      <c r="G9" s="18">
        <f t="shared" si="1"/>
        <v>13.4397384</v>
      </c>
      <c r="H9" s="23">
        <v>3.4500000000000003E-2</v>
      </c>
      <c r="I9" s="18">
        <f t="shared" si="2"/>
        <v>13.903409374799999</v>
      </c>
      <c r="J9" s="23">
        <v>5.4100000000000002E-2</v>
      </c>
      <c r="K9" s="18">
        <f t="shared" si="3"/>
        <v>14.655583821976679</v>
      </c>
      <c r="L9" s="10">
        <v>5</v>
      </c>
      <c r="M9" s="24">
        <f t="shared" si="4"/>
        <v>0</v>
      </c>
      <c r="N9" s="10">
        <f>SUM(Janeiro:Março!K10)</f>
        <v>0</v>
      </c>
      <c r="O9" s="24">
        <f t="shared" si="5"/>
        <v>0</v>
      </c>
      <c r="P9" s="18">
        <f t="shared" si="6"/>
        <v>0</v>
      </c>
      <c r="Q9" s="18">
        <f t="shared" si="7"/>
        <v>0</v>
      </c>
      <c r="R9" s="18">
        <f t="shared" si="8"/>
        <v>0</v>
      </c>
    </row>
    <row r="10" spans="1:19" ht="35" x14ac:dyDescent="0.35">
      <c r="A10" s="10">
        <v>9</v>
      </c>
      <c r="B10" s="13" t="s">
        <v>438</v>
      </c>
      <c r="C10" s="18">
        <v>14</v>
      </c>
      <c r="D10" s="22">
        <v>8.2000000000000003E-2</v>
      </c>
      <c r="E10" s="18">
        <f t="shared" si="0"/>
        <v>15.148</v>
      </c>
      <c r="F10" s="23">
        <v>3.5099999999999999E-2</v>
      </c>
      <c r="G10" s="18">
        <f t="shared" si="1"/>
        <v>15.6796948</v>
      </c>
      <c r="H10" s="23">
        <v>3.4500000000000003E-2</v>
      </c>
      <c r="I10" s="18">
        <f t="shared" si="2"/>
        <v>16.220644270600001</v>
      </c>
      <c r="J10" s="23">
        <v>5.4100000000000002E-2</v>
      </c>
      <c r="K10" s="18">
        <f t="shared" si="3"/>
        <v>17.09818112563946</v>
      </c>
      <c r="L10" s="10">
        <v>200</v>
      </c>
      <c r="M10" s="24">
        <f t="shared" si="4"/>
        <v>0</v>
      </c>
      <c r="N10" s="10">
        <f>SUM(Janeiro:Março!K11)</f>
        <v>126</v>
      </c>
      <c r="O10" s="24">
        <f t="shared" si="5"/>
        <v>-126</v>
      </c>
      <c r="P10" s="18">
        <f t="shared" si="6"/>
        <v>0</v>
      </c>
      <c r="Q10" s="18">
        <f t="shared" si="7"/>
        <v>2154.3708218305719</v>
      </c>
      <c r="R10" s="18">
        <f t="shared" si="8"/>
        <v>-2154.3708218305719</v>
      </c>
    </row>
    <row r="11" spans="1:19" ht="17.5" x14ac:dyDescent="0.35">
      <c r="A11" s="10">
        <v>10</v>
      </c>
      <c r="B11" s="13" t="s">
        <v>439</v>
      </c>
      <c r="C11" s="18">
        <v>16</v>
      </c>
      <c r="D11" s="22">
        <v>8.2000000000000003E-2</v>
      </c>
      <c r="E11" s="18">
        <f t="shared" si="0"/>
        <v>17.312000000000001</v>
      </c>
      <c r="F11" s="23">
        <v>3.5099999999999999E-2</v>
      </c>
      <c r="G11" s="18">
        <f t="shared" si="1"/>
        <v>17.919651200000001</v>
      </c>
      <c r="H11" s="23">
        <v>3.4500000000000003E-2</v>
      </c>
      <c r="I11" s="18">
        <f t="shared" si="2"/>
        <v>18.5378791664</v>
      </c>
      <c r="J11" s="23">
        <v>5.4100000000000002E-2</v>
      </c>
      <c r="K11" s="18">
        <f t="shared" si="3"/>
        <v>19.54077842930224</v>
      </c>
      <c r="L11" s="10">
        <v>200</v>
      </c>
      <c r="M11" s="24">
        <f t="shared" si="4"/>
        <v>0</v>
      </c>
      <c r="N11" s="10">
        <f>SUM(Janeiro:Março!K12)</f>
        <v>0</v>
      </c>
      <c r="O11" s="24">
        <f t="shared" si="5"/>
        <v>0</v>
      </c>
      <c r="P11" s="18">
        <f t="shared" si="6"/>
        <v>0</v>
      </c>
      <c r="Q11" s="18">
        <f t="shared" si="7"/>
        <v>0</v>
      </c>
      <c r="R11" s="18">
        <f t="shared" si="8"/>
        <v>0</v>
      </c>
    </row>
    <row r="12" spans="1:19" ht="17.5" x14ac:dyDescent="0.35">
      <c r="A12" s="10">
        <v>11</v>
      </c>
      <c r="B12" s="13" t="s">
        <v>440</v>
      </c>
      <c r="C12" s="18">
        <v>0.9</v>
      </c>
      <c r="D12" s="22">
        <v>8.2000000000000003E-2</v>
      </c>
      <c r="E12" s="18">
        <f t="shared" si="0"/>
        <v>0.9738</v>
      </c>
      <c r="F12" s="23">
        <v>3.5099999999999999E-2</v>
      </c>
      <c r="G12" s="18">
        <f t="shared" si="1"/>
        <v>1.00798038</v>
      </c>
      <c r="H12" s="23">
        <v>3.4500000000000003E-2</v>
      </c>
      <c r="I12" s="18">
        <f t="shared" si="2"/>
        <v>1.0427557031100001</v>
      </c>
      <c r="J12" s="23">
        <v>5.4100000000000002E-2</v>
      </c>
      <c r="K12" s="18">
        <f t="shared" si="3"/>
        <v>1.0991687866482511</v>
      </c>
      <c r="L12" s="10">
        <v>200</v>
      </c>
      <c r="M12" s="24">
        <f t="shared" si="4"/>
        <v>0</v>
      </c>
      <c r="N12" s="10">
        <f>SUM(Janeiro:Março!K13)</f>
        <v>241</v>
      </c>
      <c r="O12" s="24">
        <f t="shared" si="5"/>
        <v>-241</v>
      </c>
      <c r="P12" s="18">
        <f t="shared" si="6"/>
        <v>0</v>
      </c>
      <c r="Q12" s="18">
        <f t="shared" si="7"/>
        <v>264.89967758222855</v>
      </c>
      <c r="R12" s="18">
        <f t="shared" si="8"/>
        <v>-264.89967758222855</v>
      </c>
    </row>
    <row r="13" spans="1:19" ht="17.5" x14ac:dyDescent="0.35">
      <c r="A13" s="10">
        <v>12</v>
      </c>
      <c r="B13" s="13" t="s">
        <v>441</v>
      </c>
      <c r="C13" s="18">
        <v>1.39</v>
      </c>
      <c r="D13" s="22">
        <v>8.2000000000000003E-2</v>
      </c>
      <c r="E13" s="18">
        <f t="shared" si="0"/>
        <v>1.5039799999999999</v>
      </c>
      <c r="F13" s="23">
        <v>3.5099999999999999E-2</v>
      </c>
      <c r="G13" s="18">
        <f t="shared" si="1"/>
        <v>1.5567696979999999</v>
      </c>
      <c r="H13" s="23">
        <v>3.4500000000000003E-2</v>
      </c>
      <c r="I13" s="18">
        <f t="shared" si="2"/>
        <v>1.610478252581</v>
      </c>
      <c r="J13" s="23">
        <v>5.4100000000000002E-2</v>
      </c>
      <c r="K13" s="18">
        <f t="shared" si="3"/>
        <v>1.697605126045632</v>
      </c>
      <c r="L13" s="10">
        <v>100</v>
      </c>
      <c r="M13" s="24">
        <f t="shared" si="4"/>
        <v>0</v>
      </c>
      <c r="N13" s="10">
        <f>SUM(Janeiro:Março!K14)</f>
        <v>0</v>
      </c>
      <c r="O13" s="24">
        <f t="shared" si="5"/>
        <v>0</v>
      </c>
      <c r="P13" s="18">
        <f t="shared" si="6"/>
        <v>0</v>
      </c>
      <c r="Q13" s="18">
        <f t="shared" si="7"/>
        <v>0</v>
      </c>
      <c r="R13" s="18">
        <f t="shared" si="8"/>
        <v>0</v>
      </c>
    </row>
    <row r="14" spans="1:19" ht="17.5" x14ac:dyDescent="0.35">
      <c r="A14" s="10">
        <v>13</v>
      </c>
      <c r="B14" s="13" t="s">
        <v>442</v>
      </c>
      <c r="C14" s="18">
        <v>1.08</v>
      </c>
      <c r="D14" s="22">
        <v>8.2000000000000003E-2</v>
      </c>
      <c r="E14" s="18">
        <f t="shared" si="0"/>
        <v>1.16856</v>
      </c>
      <c r="F14" s="23">
        <v>3.5099999999999999E-2</v>
      </c>
      <c r="G14" s="18">
        <f t="shared" si="1"/>
        <v>1.209576456</v>
      </c>
      <c r="H14" s="23">
        <v>3.4500000000000003E-2</v>
      </c>
      <c r="I14" s="18">
        <f t="shared" si="2"/>
        <v>1.2513068437320001</v>
      </c>
      <c r="J14" s="23">
        <v>5.4100000000000002E-2</v>
      </c>
      <c r="K14" s="18">
        <f t="shared" si="3"/>
        <v>1.3190025439779012</v>
      </c>
      <c r="L14" s="10">
        <v>200</v>
      </c>
      <c r="M14" s="24">
        <f t="shared" si="4"/>
        <v>0</v>
      </c>
      <c r="N14" s="10">
        <f>SUM(Janeiro:Março!K15)</f>
        <v>139</v>
      </c>
      <c r="O14" s="24">
        <f t="shared" si="5"/>
        <v>-139</v>
      </c>
      <c r="P14" s="18">
        <f t="shared" si="6"/>
        <v>0</v>
      </c>
      <c r="Q14" s="18">
        <f t="shared" si="7"/>
        <v>183.34135361292826</v>
      </c>
      <c r="R14" s="18">
        <f t="shared" si="8"/>
        <v>-183.34135361292826</v>
      </c>
    </row>
    <row r="15" spans="1:19" ht="17.5" x14ac:dyDescent="0.35">
      <c r="A15" s="10">
        <v>14</v>
      </c>
      <c r="B15" s="13" t="s">
        <v>443</v>
      </c>
      <c r="C15" s="18">
        <v>1.08</v>
      </c>
      <c r="D15" s="22">
        <v>8.2000000000000003E-2</v>
      </c>
      <c r="E15" s="18">
        <f t="shared" si="0"/>
        <v>1.16856</v>
      </c>
      <c r="F15" s="23">
        <v>3.5099999999999999E-2</v>
      </c>
      <c r="G15" s="18">
        <f t="shared" si="1"/>
        <v>1.209576456</v>
      </c>
      <c r="H15" s="23">
        <v>3.4500000000000003E-2</v>
      </c>
      <c r="I15" s="18">
        <f t="shared" si="2"/>
        <v>1.2513068437320001</v>
      </c>
      <c r="J15" s="23">
        <v>5.4100000000000002E-2</v>
      </c>
      <c r="K15" s="18">
        <f t="shared" si="3"/>
        <v>1.3190025439779012</v>
      </c>
      <c r="L15" s="10">
        <v>200</v>
      </c>
      <c r="M15" s="24">
        <f t="shared" si="4"/>
        <v>0</v>
      </c>
      <c r="N15" s="10">
        <f>SUM(Janeiro:Março!K16)</f>
        <v>139</v>
      </c>
      <c r="O15" s="24">
        <f t="shared" si="5"/>
        <v>-139</v>
      </c>
      <c r="P15" s="18">
        <f t="shared" si="6"/>
        <v>0</v>
      </c>
      <c r="Q15" s="18">
        <f t="shared" si="7"/>
        <v>183.34135361292826</v>
      </c>
      <c r="R15" s="18">
        <f t="shared" si="8"/>
        <v>-183.34135361292826</v>
      </c>
    </row>
    <row r="16" spans="1:19" ht="17.5" x14ac:dyDescent="0.35">
      <c r="A16" s="10">
        <v>15</v>
      </c>
      <c r="B16" s="13" t="s">
        <v>444</v>
      </c>
      <c r="C16" s="18">
        <v>1.1000000000000001</v>
      </c>
      <c r="D16" s="22">
        <v>8.2000000000000003E-2</v>
      </c>
      <c r="E16" s="18">
        <f t="shared" si="0"/>
        <v>1.1902000000000001</v>
      </c>
      <c r="F16" s="23">
        <v>3.5099999999999999E-2</v>
      </c>
      <c r="G16" s="18">
        <f t="shared" si="1"/>
        <v>1.2319760200000001</v>
      </c>
      <c r="H16" s="23">
        <v>3.4500000000000003E-2</v>
      </c>
      <c r="I16" s="18">
        <f t="shared" si="2"/>
        <v>1.2744791926900001</v>
      </c>
      <c r="J16" s="23">
        <v>5.4100000000000002E-2</v>
      </c>
      <c r="K16" s="18">
        <f t="shared" si="3"/>
        <v>1.343428517014529</v>
      </c>
      <c r="L16" s="10">
        <v>300</v>
      </c>
      <c r="M16" s="24">
        <f t="shared" si="4"/>
        <v>0</v>
      </c>
      <c r="N16" s="10">
        <f>SUM(Janeiro:Março!K17)</f>
        <v>536</v>
      </c>
      <c r="O16" s="24">
        <f t="shared" si="5"/>
        <v>-536</v>
      </c>
      <c r="P16" s="18">
        <f t="shared" si="6"/>
        <v>0</v>
      </c>
      <c r="Q16" s="18">
        <f t="shared" si="7"/>
        <v>720.07768511978759</v>
      </c>
      <c r="R16" s="18">
        <f t="shared" si="8"/>
        <v>-720.07768511978759</v>
      </c>
    </row>
    <row r="17" spans="1:18" ht="35" x14ac:dyDescent="0.35">
      <c r="A17" s="10">
        <v>16</v>
      </c>
      <c r="B17" s="13" t="s">
        <v>445</v>
      </c>
      <c r="C17" s="18">
        <v>11</v>
      </c>
      <c r="D17" s="22">
        <v>8.2000000000000003E-2</v>
      </c>
      <c r="E17" s="18">
        <f t="shared" si="0"/>
        <v>11.901999999999999</v>
      </c>
      <c r="F17" s="23">
        <v>3.5099999999999999E-2</v>
      </c>
      <c r="G17" s="18">
        <f t="shared" si="1"/>
        <v>12.319760199999999</v>
      </c>
      <c r="H17" s="23">
        <v>3.4500000000000003E-2</v>
      </c>
      <c r="I17" s="18">
        <f t="shared" si="2"/>
        <v>12.7447919269</v>
      </c>
      <c r="J17" s="23">
        <v>5.4100000000000002E-2</v>
      </c>
      <c r="K17" s="18">
        <f t="shared" si="3"/>
        <v>13.434285170145289</v>
      </c>
      <c r="L17" s="10">
        <v>200</v>
      </c>
      <c r="M17" s="24">
        <f t="shared" si="4"/>
        <v>0</v>
      </c>
      <c r="N17" s="10">
        <f>SUM(Janeiro:Março!K18)</f>
        <v>186</v>
      </c>
      <c r="O17" s="24">
        <f t="shared" si="5"/>
        <v>-186</v>
      </c>
      <c r="P17" s="18">
        <f t="shared" si="6"/>
        <v>0</v>
      </c>
      <c r="Q17" s="18">
        <f t="shared" si="7"/>
        <v>2498.7770416470239</v>
      </c>
      <c r="R17" s="18">
        <f t="shared" si="8"/>
        <v>-2498.7770416470239</v>
      </c>
    </row>
    <row r="18" spans="1:18" ht="35" x14ac:dyDescent="0.35">
      <c r="A18" s="10">
        <v>17</v>
      </c>
      <c r="B18" s="13" t="s">
        <v>446</v>
      </c>
      <c r="C18" s="18">
        <v>15.6</v>
      </c>
      <c r="D18" s="22">
        <v>8.2000000000000003E-2</v>
      </c>
      <c r="E18" s="18">
        <f t="shared" si="0"/>
        <v>16.879200000000001</v>
      </c>
      <c r="F18" s="23">
        <v>3.5099999999999999E-2</v>
      </c>
      <c r="G18" s="18">
        <f t="shared" si="1"/>
        <v>17.47165992</v>
      </c>
      <c r="H18" s="23">
        <v>3.4500000000000003E-2</v>
      </c>
      <c r="I18" s="18">
        <f t="shared" si="2"/>
        <v>18.074432187239999</v>
      </c>
      <c r="J18" s="23">
        <v>5.4100000000000002E-2</v>
      </c>
      <c r="K18" s="18">
        <f t="shared" si="3"/>
        <v>19.052258968569685</v>
      </c>
      <c r="L18" s="10">
        <v>200</v>
      </c>
      <c r="M18" s="24">
        <f t="shared" si="4"/>
        <v>0</v>
      </c>
      <c r="N18" s="10">
        <f>SUM(Janeiro:Março!K19)</f>
        <v>74</v>
      </c>
      <c r="O18" s="24">
        <f t="shared" si="5"/>
        <v>-74</v>
      </c>
      <c r="P18" s="18">
        <f t="shared" si="6"/>
        <v>0</v>
      </c>
      <c r="Q18" s="18">
        <f t="shared" si="7"/>
        <v>1409.8671636741567</v>
      </c>
      <c r="R18" s="18">
        <f t="shared" si="8"/>
        <v>-1409.8671636741567</v>
      </c>
    </row>
    <row r="19" spans="1:18" ht="17.5" x14ac:dyDescent="0.35">
      <c r="A19" s="10">
        <v>18</v>
      </c>
      <c r="B19" s="13" t="s">
        <v>447</v>
      </c>
      <c r="C19" s="18">
        <v>0.25</v>
      </c>
      <c r="D19" s="22">
        <v>8.2000000000000003E-2</v>
      </c>
      <c r="E19" s="18">
        <f t="shared" si="0"/>
        <v>0.27050000000000002</v>
      </c>
      <c r="F19" s="23">
        <v>3.5099999999999999E-2</v>
      </c>
      <c r="G19" s="18">
        <f t="shared" si="1"/>
        <v>0.27999455000000001</v>
      </c>
      <c r="H19" s="23">
        <v>3.4500000000000003E-2</v>
      </c>
      <c r="I19" s="18">
        <f t="shared" si="2"/>
        <v>0.289654361975</v>
      </c>
      <c r="J19" s="23">
        <v>5.4100000000000002E-2</v>
      </c>
      <c r="K19" s="18">
        <f t="shared" si="3"/>
        <v>0.30532466295784749</v>
      </c>
      <c r="L19" s="10">
        <v>500</v>
      </c>
      <c r="M19" s="24">
        <f t="shared" si="4"/>
        <v>0</v>
      </c>
      <c r="N19" s="10">
        <f>SUM(Janeiro:Março!K20)</f>
        <v>0</v>
      </c>
      <c r="O19" s="24">
        <f t="shared" si="5"/>
        <v>0</v>
      </c>
      <c r="P19" s="18">
        <f t="shared" si="6"/>
        <v>0</v>
      </c>
      <c r="Q19" s="18">
        <f t="shared" si="7"/>
        <v>0</v>
      </c>
      <c r="R19" s="18">
        <f t="shared" si="8"/>
        <v>0</v>
      </c>
    </row>
    <row r="20" spans="1:18" ht="17.5" x14ac:dyDescent="0.35">
      <c r="A20" s="10">
        <v>19</v>
      </c>
      <c r="B20" s="13" t="s">
        <v>448</v>
      </c>
      <c r="C20" s="18">
        <v>0.08</v>
      </c>
      <c r="D20" s="22">
        <v>8.2000000000000003E-2</v>
      </c>
      <c r="E20" s="18">
        <f t="shared" si="0"/>
        <v>8.6559999999999998E-2</v>
      </c>
      <c r="F20" s="23">
        <v>3.5099999999999999E-2</v>
      </c>
      <c r="G20" s="18">
        <f t="shared" si="1"/>
        <v>8.9598256000000001E-2</v>
      </c>
      <c r="H20" s="23">
        <v>3.4500000000000003E-2</v>
      </c>
      <c r="I20" s="18">
        <f t="shared" si="2"/>
        <v>9.2689395832000004E-2</v>
      </c>
      <c r="J20" s="23">
        <v>5.4100000000000002E-2</v>
      </c>
      <c r="K20" s="18">
        <f t="shared" si="3"/>
        <v>9.7703892146511206E-2</v>
      </c>
      <c r="L20" s="10">
        <v>80000</v>
      </c>
      <c r="M20" s="24">
        <f t="shared" si="4"/>
        <v>0</v>
      </c>
      <c r="N20" s="10">
        <f>SUM(Janeiro:Março!K21)</f>
        <v>7831</v>
      </c>
      <c r="O20" s="24">
        <f t="shared" si="5"/>
        <v>-7831</v>
      </c>
      <c r="P20" s="18">
        <f t="shared" si="6"/>
        <v>0</v>
      </c>
      <c r="Q20" s="18">
        <f t="shared" si="7"/>
        <v>765.11917939932925</v>
      </c>
      <c r="R20" s="18">
        <f t="shared" si="8"/>
        <v>-765.11917939932925</v>
      </c>
    </row>
    <row r="21" spans="1:18" ht="17.5" x14ac:dyDescent="0.35">
      <c r="A21" s="10">
        <v>20</v>
      </c>
      <c r="B21" s="13" t="s">
        <v>449</v>
      </c>
      <c r="C21" s="18">
        <v>1</v>
      </c>
      <c r="D21" s="22">
        <v>8.2000000000000003E-2</v>
      </c>
      <c r="E21" s="18">
        <f t="shared" si="0"/>
        <v>1.0820000000000001</v>
      </c>
      <c r="F21" s="23">
        <v>3.5099999999999999E-2</v>
      </c>
      <c r="G21" s="18">
        <f t="shared" si="1"/>
        <v>1.1199782</v>
      </c>
      <c r="H21" s="23">
        <v>3.4500000000000003E-2</v>
      </c>
      <c r="I21" s="18">
        <f t="shared" si="2"/>
        <v>1.1586174479</v>
      </c>
      <c r="J21" s="23">
        <v>5.4100000000000002E-2</v>
      </c>
      <c r="K21" s="18">
        <f t="shared" si="3"/>
        <v>1.22129865183139</v>
      </c>
      <c r="L21" s="10">
        <v>500</v>
      </c>
      <c r="M21" s="24">
        <f t="shared" si="4"/>
        <v>0</v>
      </c>
      <c r="N21" s="10">
        <f>SUM(Janeiro:Março!K22)</f>
        <v>365</v>
      </c>
      <c r="O21" s="24">
        <f t="shared" si="5"/>
        <v>-365</v>
      </c>
      <c r="P21" s="18">
        <f t="shared" si="6"/>
        <v>0</v>
      </c>
      <c r="Q21" s="18">
        <f t="shared" si="7"/>
        <v>445.77400791845736</v>
      </c>
      <c r="R21" s="18">
        <f t="shared" si="8"/>
        <v>-445.77400791845736</v>
      </c>
    </row>
    <row r="22" spans="1:18" ht="17.5" x14ac:dyDescent="0.35">
      <c r="A22" s="10">
        <v>21</v>
      </c>
      <c r="B22" s="13" t="s">
        <v>450</v>
      </c>
      <c r="C22" s="18">
        <v>0.31</v>
      </c>
      <c r="D22" s="22">
        <v>8.2000000000000003E-2</v>
      </c>
      <c r="E22" s="18">
        <f t="shared" si="0"/>
        <v>0.33542</v>
      </c>
      <c r="F22" s="23">
        <v>3.5099999999999999E-2</v>
      </c>
      <c r="G22" s="18">
        <f t="shared" si="1"/>
        <v>0.34719324200000001</v>
      </c>
      <c r="H22" s="23">
        <v>3.4500000000000003E-2</v>
      </c>
      <c r="I22" s="18">
        <f t="shared" si="2"/>
        <v>0.35917140884900001</v>
      </c>
      <c r="J22" s="23">
        <v>5.4100000000000002E-2</v>
      </c>
      <c r="K22" s="18">
        <f t="shared" si="3"/>
        <v>0.3786025820677309</v>
      </c>
      <c r="L22" s="10">
        <v>50000</v>
      </c>
      <c r="M22" s="24">
        <f t="shared" si="4"/>
        <v>0</v>
      </c>
      <c r="N22" s="10">
        <f>SUM(Janeiro:Março!K23)</f>
        <v>64296</v>
      </c>
      <c r="O22" s="24">
        <f t="shared" si="5"/>
        <v>-64296</v>
      </c>
      <c r="P22" s="18">
        <f t="shared" si="6"/>
        <v>0</v>
      </c>
      <c r="Q22" s="18">
        <f t="shared" si="7"/>
        <v>24342.631616626826</v>
      </c>
      <c r="R22" s="18">
        <f t="shared" si="8"/>
        <v>-24342.631616626826</v>
      </c>
    </row>
    <row r="23" spans="1:18" ht="17.5" x14ac:dyDescent="0.35">
      <c r="A23" s="10">
        <v>22</v>
      </c>
      <c r="B23" s="13" t="s">
        <v>451</v>
      </c>
      <c r="C23" s="18">
        <v>0.48</v>
      </c>
      <c r="D23" s="22">
        <v>8.2000000000000003E-2</v>
      </c>
      <c r="E23" s="18">
        <f t="shared" si="0"/>
        <v>0.51935999999999993</v>
      </c>
      <c r="F23" s="23">
        <v>3.5099999999999999E-2</v>
      </c>
      <c r="G23" s="18">
        <f t="shared" si="1"/>
        <v>0.53758953599999992</v>
      </c>
      <c r="H23" s="23">
        <v>3.4500000000000003E-2</v>
      </c>
      <c r="I23" s="18">
        <f t="shared" si="2"/>
        <v>0.55613637499199997</v>
      </c>
      <c r="J23" s="23">
        <v>5.4100000000000002E-2</v>
      </c>
      <c r="K23" s="18">
        <f t="shared" si="3"/>
        <v>0.58622335287906713</v>
      </c>
      <c r="L23" s="10">
        <v>500</v>
      </c>
      <c r="M23" s="24">
        <f t="shared" si="4"/>
        <v>0</v>
      </c>
      <c r="N23" s="10">
        <f>SUM(Janeiro:Março!K24)</f>
        <v>500</v>
      </c>
      <c r="O23" s="24">
        <f t="shared" si="5"/>
        <v>-500</v>
      </c>
      <c r="P23" s="18">
        <f t="shared" si="6"/>
        <v>0</v>
      </c>
      <c r="Q23" s="18">
        <f t="shared" si="7"/>
        <v>293.11167643953354</v>
      </c>
      <c r="R23" s="18">
        <f t="shared" si="8"/>
        <v>-293.11167643953354</v>
      </c>
    </row>
    <row r="24" spans="1:18" ht="17.5" x14ac:dyDescent="0.35">
      <c r="A24" s="10">
        <v>23</v>
      </c>
      <c r="B24" s="13" t="s">
        <v>452</v>
      </c>
      <c r="C24" s="18">
        <v>0.11</v>
      </c>
      <c r="D24" s="22">
        <v>8.2000000000000003E-2</v>
      </c>
      <c r="E24" s="18">
        <f t="shared" si="0"/>
        <v>0.11902</v>
      </c>
      <c r="F24" s="23">
        <v>3.5099999999999999E-2</v>
      </c>
      <c r="G24" s="18">
        <f t="shared" si="1"/>
        <v>0.123197602</v>
      </c>
      <c r="H24" s="23">
        <v>3.4500000000000003E-2</v>
      </c>
      <c r="I24" s="18">
        <f t="shared" si="2"/>
        <v>0.12744791926900001</v>
      </c>
      <c r="J24" s="23">
        <v>5.4100000000000002E-2</v>
      </c>
      <c r="K24" s="18">
        <f t="shared" si="3"/>
        <v>0.13434285170145291</v>
      </c>
      <c r="L24" s="10">
        <v>80000</v>
      </c>
      <c r="M24" s="24">
        <f t="shared" si="4"/>
        <v>0</v>
      </c>
      <c r="N24" s="10">
        <f>SUM(Janeiro:Março!K25)</f>
        <v>73790</v>
      </c>
      <c r="O24" s="24">
        <f t="shared" si="5"/>
        <v>-73790</v>
      </c>
      <c r="P24" s="18">
        <f t="shared" si="6"/>
        <v>0</v>
      </c>
      <c r="Q24" s="18">
        <f t="shared" si="7"/>
        <v>9913.1590270502093</v>
      </c>
      <c r="R24" s="18">
        <f t="shared" si="8"/>
        <v>-9913.1590270502093</v>
      </c>
    </row>
    <row r="25" spans="1:18" ht="17.5" x14ac:dyDescent="0.35">
      <c r="A25" s="10">
        <v>24</v>
      </c>
      <c r="B25" s="13" t="s">
        <v>453</v>
      </c>
      <c r="C25" s="18">
        <v>1</v>
      </c>
      <c r="D25" s="22">
        <v>8.2000000000000003E-2</v>
      </c>
      <c r="E25" s="18">
        <f t="shared" si="0"/>
        <v>1.0820000000000001</v>
      </c>
      <c r="F25" s="23">
        <v>3.5099999999999999E-2</v>
      </c>
      <c r="G25" s="18">
        <f t="shared" si="1"/>
        <v>1.1199782</v>
      </c>
      <c r="H25" s="23">
        <v>3.4500000000000003E-2</v>
      </c>
      <c r="I25" s="18">
        <f t="shared" si="2"/>
        <v>1.1586174479</v>
      </c>
      <c r="J25" s="23">
        <v>5.4100000000000002E-2</v>
      </c>
      <c r="K25" s="18">
        <f t="shared" si="3"/>
        <v>1.22129865183139</v>
      </c>
      <c r="L25" s="10">
        <v>500</v>
      </c>
      <c r="M25" s="24">
        <f t="shared" si="4"/>
        <v>0</v>
      </c>
      <c r="N25" s="10">
        <f>SUM(Janeiro:Março!K26)</f>
        <v>0</v>
      </c>
      <c r="O25" s="24">
        <f t="shared" si="5"/>
        <v>0</v>
      </c>
      <c r="P25" s="18">
        <f t="shared" si="6"/>
        <v>0</v>
      </c>
      <c r="Q25" s="18">
        <f t="shared" si="7"/>
        <v>0</v>
      </c>
      <c r="R25" s="18">
        <f t="shared" si="8"/>
        <v>0</v>
      </c>
    </row>
    <row r="26" spans="1:18" ht="17.5" x14ac:dyDescent="0.35">
      <c r="A26" s="10">
        <v>25</v>
      </c>
      <c r="B26" s="14" t="s">
        <v>454</v>
      </c>
      <c r="C26" s="18">
        <v>0.7</v>
      </c>
      <c r="D26" s="22">
        <v>8.2000000000000003E-2</v>
      </c>
      <c r="E26" s="18">
        <f t="shared" si="0"/>
        <v>0.75739999999999996</v>
      </c>
      <c r="F26" s="23">
        <v>3.5099999999999999E-2</v>
      </c>
      <c r="G26" s="18">
        <f t="shared" si="1"/>
        <v>0.78398473999999996</v>
      </c>
      <c r="H26" s="23">
        <v>3.4500000000000003E-2</v>
      </c>
      <c r="I26" s="18">
        <f t="shared" si="2"/>
        <v>0.81103221352999999</v>
      </c>
      <c r="J26" s="23">
        <v>5.4100000000000002E-2</v>
      </c>
      <c r="K26" s="18">
        <f t="shared" si="3"/>
        <v>0.854909056281973</v>
      </c>
      <c r="L26" s="10">
        <v>50000</v>
      </c>
      <c r="M26" s="24">
        <f t="shared" si="4"/>
        <v>0</v>
      </c>
      <c r="N26" s="10">
        <f>SUM(Janeiro:Março!K27)</f>
        <v>55422</v>
      </c>
      <c r="O26" s="24">
        <f t="shared" si="5"/>
        <v>-55422</v>
      </c>
      <c r="P26" s="18">
        <f t="shared" si="6"/>
        <v>0</v>
      </c>
      <c r="Q26" s="18">
        <f t="shared" si="7"/>
        <v>47380.769717259507</v>
      </c>
      <c r="R26" s="18">
        <f t="shared" si="8"/>
        <v>-47380.769717259507</v>
      </c>
    </row>
    <row r="27" spans="1:18" ht="17.5" x14ac:dyDescent="0.35">
      <c r="A27" s="10">
        <v>26</v>
      </c>
      <c r="B27" s="13" t="s">
        <v>455</v>
      </c>
      <c r="C27" s="18">
        <v>0.12</v>
      </c>
      <c r="D27" s="22">
        <v>8.2000000000000003E-2</v>
      </c>
      <c r="E27" s="18">
        <f t="shared" si="0"/>
        <v>0.12983999999999998</v>
      </c>
      <c r="F27" s="23">
        <v>3.5099999999999999E-2</v>
      </c>
      <c r="G27" s="18">
        <f t="shared" si="1"/>
        <v>0.13439738399999998</v>
      </c>
      <c r="H27" s="23">
        <v>3.4500000000000003E-2</v>
      </c>
      <c r="I27" s="18">
        <f t="shared" si="2"/>
        <v>0.13903409374799999</v>
      </c>
      <c r="J27" s="23">
        <v>5.4100000000000002E-2</v>
      </c>
      <c r="K27" s="18">
        <f t="shared" si="3"/>
        <v>0.14655583821976678</v>
      </c>
      <c r="L27" s="10">
        <v>300</v>
      </c>
      <c r="M27" s="24">
        <f t="shared" si="4"/>
        <v>0</v>
      </c>
      <c r="N27" s="10">
        <f>SUM(Janeiro:Março!K28)</f>
        <v>0</v>
      </c>
      <c r="O27" s="24">
        <f t="shared" si="5"/>
        <v>0</v>
      </c>
      <c r="P27" s="18">
        <f t="shared" si="6"/>
        <v>0</v>
      </c>
      <c r="Q27" s="18">
        <f t="shared" si="7"/>
        <v>0</v>
      </c>
      <c r="R27" s="18">
        <f t="shared" si="8"/>
        <v>0</v>
      </c>
    </row>
    <row r="28" spans="1:18" ht="17.5" x14ac:dyDescent="0.35">
      <c r="A28" s="10">
        <v>27</v>
      </c>
      <c r="B28" s="13" t="s">
        <v>456</v>
      </c>
      <c r="C28" s="18">
        <v>0.24</v>
      </c>
      <c r="D28" s="22">
        <v>8.2000000000000003E-2</v>
      </c>
      <c r="E28" s="18">
        <f t="shared" si="0"/>
        <v>0.25967999999999997</v>
      </c>
      <c r="F28" s="23">
        <v>3.5099999999999999E-2</v>
      </c>
      <c r="G28" s="18">
        <f t="shared" si="1"/>
        <v>0.26879476799999996</v>
      </c>
      <c r="H28" s="23">
        <v>3.4500000000000003E-2</v>
      </c>
      <c r="I28" s="18">
        <f t="shared" si="2"/>
        <v>0.27806818749599999</v>
      </c>
      <c r="J28" s="23">
        <v>5.4100000000000002E-2</v>
      </c>
      <c r="K28" s="18">
        <f t="shared" si="3"/>
        <v>0.29311167643953356</v>
      </c>
      <c r="L28" s="10">
        <v>300</v>
      </c>
      <c r="M28" s="24">
        <f t="shared" si="4"/>
        <v>0</v>
      </c>
      <c r="N28" s="10">
        <f>SUM(Janeiro:Março!K29)</f>
        <v>272</v>
      </c>
      <c r="O28" s="24">
        <f t="shared" si="5"/>
        <v>-272</v>
      </c>
      <c r="P28" s="18">
        <f t="shared" si="6"/>
        <v>0</v>
      </c>
      <c r="Q28" s="18">
        <f t="shared" si="7"/>
        <v>79.726375991553127</v>
      </c>
      <c r="R28" s="18">
        <f t="shared" si="8"/>
        <v>-79.726375991553127</v>
      </c>
    </row>
    <row r="29" spans="1:18" ht="17.5" x14ac:dyDescent="0.35">
      <c r="A29" s="10">
        <v>28</v>
      </c>
      <c r="B29" s="13" t="s">
        <v>457</v>
      </c>
      <c r="C29" s="18">
        <v>0.7</v>
      </c>
      <c r="D29" s="22">
        <v>8.2000000000000003E-2</v>
      </c>
      <c r="E29" s="18">
        <f t="shared" si="0"/>
        <v>0.75739999999999996</v>
      </c>
      <c r="F29" s="23">
        <v>3.5099999999999999E-2</v>
      </c>
      <c r="G29" s="18">
        <f t="shared" si="1"/>
        <v>0.78398473999999996</v>
      </c>
      <c r="H29" s="23">
        <v>3.4500000000000003E-2</v>
      </c>
      <c r="I29" s="18">
        <f t="shared" si="2"/>
        <v>0.81103221352999999</v>
      </c>
      <c r="J29" s="23">
        <v>5.4100000000000002E-2</v>
      </c>
      <c r="K29" s="18">
        <f t="shared" si="3"/>
        <v>0.854909056281973</v>
      </c>
      <c r="L29" s="10">
        <v>300</v>
      </c>
      <c r="M29" s="24">
        <f t="shared" si="4"/>
        <v>0</v>
      </c>
      <c r="N29" s="10">
        <f>SUM(Janeiro:Março!K30)</f>
        <v>0</v>
      </c>
      <c r="O29" s="24">
        <f t="shared" si="5"/>
        <v>0</v>
      </c>
      <c r="P29" s="18">
        <f t="shared" si="6"/>
        <v>0</v>
      </c>
      <c r="Q29" s="18">
        <f t="shared" si="7"/>
        <v>0</v>
      </c>
      <c r="R29" s="18">
        <f t="shared" si="8"/>
        <v>0</v>
      </c>
    </row>
    <row r="30" spans="1:18" ht="17.5" x14ac:dyDescent="0.35">
      <c r="A30" s="10">
        <v>29</v>
      </c>
      <c r="B30" s="13" t="s">
        <v>458</v>
      </c>
      <c r="C30" s="18">
        <v>0.8</v>
      </c>
      <c r="D30" s="22">
        <v>8.2000000000000003E-2</v>
      </c>
      <c r="E30" s="18">
        <f t="shared" si="0"/>
        <v>0.86560000000000004</v>
      </c>
      <c r="F30" s="23">
        <v>3.5099999999999999E-2</v>
      </c>
      <c r="G30" s="18">
        <f t="shared" si="1"/>
        <v>0.89598255999999998</v>
      </c>
      <c r="H30" s="23">
        <v>3.4500000000000003E-2</v>
      </c>
      <c r="I30" s="18">
        <f t="shared" si="2"/>
        <v>0.92689395831999999</v>
      </c>
      <c r="J30" s="23">
        <v>5.4100000000000002E-2</v>
      </c>
      <c r="K30" s="18">
        <f t="shared" si="3"/>
        <v>0.97703892146511195</v>
      </c>
      <c r="L30" s="10">
        <v>300</v>
      </c>
      <c r="M30" s="24">
        <f t="shared" si="4"/>
        <v>0</v>
      </c>
      <c r="N30" s="10">
        <f>SUM(Janeiro:Março!K31)</f>
        <v>0</v>
      </c>
      <c r="O30" s="24">
        <f t="shared" si="5"/>
        <v>0</v>
      </c>
      <c r="P30" s="18">
        <f t="shared" si="6"/>
        <v>0</v>
      </c>
      <c r="Q30" s="18">
        <f t="shared" si="7"/>
        <v>0</v>
      </c>
      <c r="R30" s="18">
        <f t="shared" si="8"/>
        <v>0</v>
      </c>
    </row>
    <row r="31" spans="1:18" ht="17.5" x14ac:dyDescent="0.35">
      <c r="A31" s="10">
        <v>30</v>
      </c>
      <c r="B31" s="13" t="s">
        <v>459</v>
      </c>
      <c r="C31" s="18">
        <v>2.64</v>
      </c>
      <c r="D31" s="22">
        <v>8.2000000000000003E-2</v>
      </c>
      <c r="E31" s="18">
        <f t="shared" si="0"/>
        <v>2.8564800000000004</v>
      </c>
      <c r="F31" s="23">
        <v>3.5099999999999999E-2</v>
      </c>
      <c r="G31" s="18">
        <f t="shared" si="1"/>
        <v>2.9567424480000004</v>
      </c>
      <c r="H31" s="23">
        <v>3.4500000000000003E-2</v>
      </c>
      <c r="I31" s="18">
        <f t="shared" si="2"/>
        <v>3.0587500624560002</v>
      </c>
      <c r="J31" s="23">
        <v>5.4100000000000002E-2</v>
      </c>
      <c r="K31" s="18">
        <f t="shared" si="3"/>
        <v>3.22422844083487</v>
      </c>
      <c r="L31" s="10">
        <v>300</v>
      </c>
      <c r="M31" s="24">
        <f t="shared" si="4"/>
        <v>0</v>
      </c>
      <c r="N31" s="10">
        <f>SUM(Janeiro:Março!K32)</f>
        <v>493</v>
      </c>
      <c r="O31" s="24">
        <f t="shared" si="5"/>
        <v>-493</v>
      </c>
      <c r="P31" s="18">
        <f t="shared" si="6"/>
        <v>0</v>
      </c>
      <c r="Q31" s="18">
        <f t="shared" si="7"/>
        <v>1589.5446213315909</v>
      </c>
      <c r="R31" s="18">
        <f t="shared" si="8"/>
        <v>-1589.5446213315909</v>
      </c>
    </row>
    <row r="32" spans="1:18" ht="17.5" x14ac:dyDescent="0.35">
      <c r="A32" s="10">
        <v>31</v>
      </c>
      <c r="B32" s="13" t="s">
        <v>460</v>
      </c>
      <c r="C32" s="18">
        <v>3</v>
      </c>
      <c r="D32" s="22">
        <v>8.2000000000000003E-2</v>
      </c>
      <c r="E32" s="18">
        <f t="shared" si="0"/>
        <v>3.246</v>
      </c>
      <c r="F32" s="23">
        <v>3.5099999999999999E-2</v>
      </c>
      <c r="G32" s="18">
        <f t="shared" si="1"/>
        <v>3.3599345999999999</v>
      </c>
      <c r="H32" s="23">
        <v>3.4500000000000003E-2</v>
      </c>
      <c r="I32" s="18">
        <f t="shared" si="2"/>
        <v>3.4758523436999997</v>
      </c>
      <c r="J32" s="23">
        <v>5.4100000000000002E-2</v>
      </c>
      <c r="K32" s="18">
        <f t="shared" si="3"/>
        <v>3.6638959554941697</v>
      </c>
      <c r="L32" s="10">
        <v>300</v>
      </c>
      <c r="M32" s="24">
        <f t="shared" si="4"/>
        <v>0</v>
      </c>
      <c r="N32" s="10">
        <f>SUM(Janeiro:Março!K33)</f>
        <v>387</v>
      </c>
      <c r="O32" s="24">
        <f t="shared" si="5"/>
        <v>-387</v>
      </c>
      <c r="P32" s="18">
        <f t="shared" si="6"/>
        <v>0</v>
      </c>
      <c r="Q32" s="18">
        <f t="shared" si="7"/>
        <v>1417.9277347762436</v>
      </c>
      <c r="R32" s="18">
        <f t="shared" si="8"/>
        <v>-1417.9277347762436</v>
      </c>
    </row>
    <row r="33" spans="1:18" ht="17.5" x14ac:dyDescent="0.35">
      <c r="A33" s="10">
        <v>32</v>
      </c>
      <c r="B33" s="13" t="s">
        <v>461</v>
      </c>
      <c r="C33" s="18">
        <v>3</v>
      </c>
      <c r="D33" s="22">
        <v>8.2000000000000003E-2</v>
      </c>
      <c r="E33" s="18">
        <f t="shared" si="0"/>
        <v>3.246</v>
      </c>
      <c r="F33" s="23">
        <v>3.5099999999999999E-2</v>
      </c>
      <c r="G33" s="18">
        <f t="shared" si="1"/>
        <v>3.3599345999999999</v>
      </c>
      <c r="H33" s="23">
        <v>3.4500000000000003E-2</v>
      </c>
      <c r="I33" s="18">
        <f t="shared" si="2"/>
        <v>3.4758523436999997</v>
      </c>
      <c r="J33" s="23">
        <v>5.4100000000000002E-2</v>
      </c>
      <c r="K33" s="18">
        <f t="shared" si="3"/>
        <v>3.6638959554941697</v>
      </c>
      <c r="L33" s="10">
        <v>300</v>
      </c>
      <c r="M33" s="24">
        <f t="shared" si="4"/>
        <v>0</v>
      </c>
      <c r="N33" s="10">
        <f>SUM(Janeiro:Março!K34)</f>
        <v>434</v>
      </c>
      <c r="O33" s="24">
        <f t="shared" si="5"/>
        <v>-434</v>
      </c>
      <c r="P33" s="18">
        <f t="shared" si="6"/>
        <v>0</v>
      </c>
      <c r="Q33" s="18">
        <f t="shared" si="7"/>
        <v>1590.1308446844696</v>
      </c>
      <c r="R33" s="18">
        <f t="shared" si="8"/>
        <v>-1590.1308446844696</v>
      </c>
    </row>
    <row r="34" spans="1:18" ht="17.5" x14ac:dyDescent="0.35">
      <c r="A34" s="10">
        <v>33</v>
      </c>
      <c r="B34" s="13" t="s">
        <v>462</v>
      </c>
      <c r="C34" s="18">
        <v>2.4900000000000002</v>
      </c>
      <c r="D34" s="22">
        <v>8.2000000000000003E-2</v>
      </c>
      <c r="E34" s="18">
        <f t="shared" si="0"/>
        <v>2.6941800000000002</v>
      </c>
      <c r="F34" s="23">
        <v>3.5099999999999999E-2</v>
      </c>
      <c r="G34" s="18">
        <f t="shared" si="1"/>
        <v>2.7887457180000004</v>
      </c>
      <c r="H34" s="23">
        <v>3.4500000000000003E-2</v>
      </c>
      <c r="I34" s="18">
        <f t="shared" si="2"/>
        <v>2.8849574452710005</v>
      </c>
      <c r="J34" s="23">
        <v>5.4100000000000002E-2</v>
      </c>
      <c r="K34" s="18">
        <f t="shared" si="3"/>
        <v>3.0410336430601617</v>
      </c>
      <c r="L34" s="10">
        <v>200</v>
      </c>
      <c r="M34" s="24">
        <f t="shared" si="4"/>
        <v>0</v>
      </c>
      <c r="N34" s="10">
        <f>SUM(Janeiro:Março!K35)</f>
        <v>0</v>
      </c>
      <c r="O34" s="24">
        <f t="shared" si="5"/>
        <v>0</v>
      </c>
      <c r="P34" s="18">
        <f t="shared" si="6"/>
        <v>0</v>
      </c>
      <c r="Q34" s="18">
        <f t="shared" si="7"/>
        <v>0</v>
      </c>
      <c r="R34" s="18">
        <f t="shared" si="8"/>
        <v>0</v>
      </c>
    </row>
    <row r="35" spans="1:18" ht="17.5" x14ac:dyDescent="0.35">
      <c r="A35" s="10">
        <v>34</v>
      </c>
      <c r="B35" s="13" t="s">
        <v>463</v>
      </c>
      <c r="C35" s="18">
        <v>2.34</v>
      </c>
      <c r="D35" s="22">
        <v>8.2000000000000003E-2</v>
      </c>
      <c r="E35" s="18">
        <f t="shared" si="0"/>
        <v>2.5318799999999997</v>
      </c>
      <c r="F35" s="23">
        <v>3.5099999999999999E-2</v>
      </c>
      <c r="G35" s="18">
        <f t="shared" si="1"/>
        <v>2.6207489879999999</v>
      </c>
      <c r="H35" s="23">
        <v>3.4500000000000003E-2</v>
      </c>
      <c r="I35" s="18">
        <f t="shared" si="2"/>
        <v>2.7111648280859999</v>
      </c>
      <c r="J35" s="23">
        <v>5.4100000000000002E-2</v>
      </c>
      <c r="K35" s="18">
        <f t="shared" si="3"/>
        <v>2.8578388452854524</v>
      </c>
      <c r="L35" s="10">
        <v>200</v>
      </c>
      <c r="M35" s="24">
        <f t="shared" si="4"/>
        <v>0</v>
      </c>
      <c r="N35" s="10">
        <f>SUM(Janeiro:Março!K36)</f>
        <v>112</v>
      </c>
      <c r="O35" s="24">
        <f t="shared" si="5"/>
        <v>-112</v>
      </c>
      <c r="P35" s="18">
        <f t="shared" si="6"/>
        <v>0</v>
      </c>
      <c r="Q35" s="18">
        <f t="shared" si="7"/>
        <v>320.07795067197065</v>
      </c>
      <c r="R35" s="18">
        <f t="shared" si="8"/>
        <v>-320.07795067197065</v>
      </c>
    </row>
    <row r="36" spans="1:18" ht="17.5" x14ac:dyDescent="0.35">
      <c r="A36" s="10">
        <v>35</v>
      </c>
      <c r="B36" s="13" t="s">
        <v>464</v>
      </c>
      <c r="C36" s="18">
        <v>2.4900000000000002</v>
      </c>
      <c r="D36" s="22">
        <v>8.2000000000000003E-2</v>
      </c>
      <c r="E36" s="18">
        <f t="shared" si="0"/>
        <v>2.6941800000000002</v>
      </c>
      <c r="F36" s="23">
        <v>3.5099999999999999E-2</v>
      </c>
      <c r="G36" s="18">
        <f t="shared" si="1"/>
        <v>2.7887457180000004</v>
      </c>
      <c r="H36" s="23">
        <v>3.4500000000000003E-2</v>
      </c>
      <c r="I36" s="18">
        <f t="shared" si="2"/>
        <v>2.8849574452710005</v>
      </c>
      <c r="J36" s="23">
        <v>5.4100000000000002E-2</v>
      </c>
      <c r="K36" s="18">
        <f t="shared" si="3"/>
        <v>3.0410336430601617</v>
      </c>
      <c r="L36" s="10">
        <v>200</v>
      </c>
      <c r="M36" s="24">
        <f t="shared" si="4"/>
        <v>0</v>
      </c>
      <c r="N36" s="10">
        <f>SUM(Janeiro:Março!K37)</f>
        <v>145</v>
      </c>
      <c r="O36" s="24">
        <f t="shared" si="5"/>
        <v>-145</v>
      </c>
      <c r="P36" s="18">
        <f t="shared" si="6"/>
        <v>0</v>
      </c>
      <c r="Q36" s="18">
        <f t="shared" si="7"/>
        <v>440.94987824372345</v>
      </c>
      <c r="R36" s="18">
        <f t="shared" si="8"/>
        <v>-440.94987824372345</v>
      </c>
    </row>
    <row r="37" spans="1:18" ht="17.5" x14ac:dyDescent="0.35">
      <c r="A37" s="10">
        <v>36</v>
      </c>
      <c r="B37" s="13" t="s">
        <v>465</v>
      </c>
      <c r="C37" s="18">
        <v>0.4</v>
      </c>
      <c r="D37" s="22">
        <v>8.2000000000000003E-2</v>
      </c>
      <c r="E37" s="18">
        <f t="shared" si="0"/>
        <v>0.43280000000000002</v>
      </c>
      <c r="F37" s="23">
        <v>3.5099999999999999E-2</v>
      </c>
      <c r="G37" s="18">
        <f t="shared" si="1"/>
        <v>0.44799127999999999</v>
      </c>
      <c r="H37" s="23">
        <v>3.4500000000000003E-2</v>
      </c>
      <c r="I37" s="18">
        <f t="shared" si="2"/>
        <v>0.46344697915999999</v>
      </c>
      <c r="J37" s="23">
        <v>5.4100000000000002E-2</v>
      </c>
      <c r="K37" s="18">
        <f t="shared" si="3"/>
        <v>0.48851946073255598</v>
      </c>
      <c r="L37" s="10">
        <v>5000</v>
      </c>
      <c r="M37" s="24">
        <f t="shared" si="4"/>
        <v>0</v>
      </c>
      <c r="N37" s="10">
        <f>SUM(Janeiro:Março!K38)</f>
        <v>6958</v>
      </c>
      <c r="O37" s="24">
        <f t="shared" si="5"/>
        <v>-6958</v>
      </c>
      <c r="P37" s="18">
        <f t="shared" si="6"/>
        <v>0</v>
      </c>
      <c r="Q37" s="18">
        <f t="shared" si="7"/>
        <v>3399.1184077771245</v>
      </c>
      <c r="R37" s="18">
        <f t="shared" si="8"/>
        <v>-3399.1184077771245</v>
      </c>
    </row>
    <row r="38" spans="1:18" ht="17.5" x14ac:dyDescent="0.35">
      <c r="A38" s="10">
        <v>37</v>
      </c>
      <c r="B38" s="13" t="s">
        <v>466</v>
      </c>
      <c r="C38" s="18">
        <v>0.38</v>
      </c>
      <c r="D38" s="22">
        <v>8.2000000000000003E-2</v>
      </c>
      <c r="E38" s="18">
        <f t="shared" si="0"/>
        <v>0.41116000000000003</v>
      </c>
      <c r="F38" s="23">
        <v>3.5099999999999999E-2</v>
      </c>
      <c r="G38" s="18">
        <f t="shared" si="1"/>
        <v>0.42559171600000001</v>
      </c>
      <c r="H38" s="23">
        <v>3.4500000000000003E-2</v>
      </c>
      <c r="I38" s="18">
        <f t="shared" si="2"/>
        <v>0.44027463020200003</v>
      </c>
      <c r="J38" s="23">
        <v>5.4100000000000002E-2</v>
      </c>
      <c r="K38" s="18">
        <f t="shared" si="3"/>
        <v>0.46409348769592823</v>
      </c>
      <c r="L38" s="10">
        <v>300</v>
      </c>
      <c r="M38" s="24">
        <f t="shared" si="4"/>
        <v>0</v>
      </c>
      <c r="N38" s="10">
        <f>SUM(Janeiro:Março!K39)</f>
        <v>522</v>
      </c>
      <c r="O38" s="24">
        <f t="shared" si="5"/>
        <v>-522</v>
      </c>
      <c r="P38" s="18">
        <f t="shared" si="6"/>
        <v>0</v>
      </c>
      <c r="Q38" s="18">
        <f t="shared" si="7"/>
        <v>242.25680057727453</v>
      </c>
      <c r="R38" s="18">
        <f t="shared" si="8"/>
        <v>-242.25680057727453</v>
      </c>
    </row>
    <row r="39" spans="1:18" ht="17.5" x14ac:dyDescent="0.35">
      <c r="A39" s="10">
        <v>38</v>
      </c>
      <c r="B39" s="13" t="s">
        <v>467</v>
      </c>
      <c r="C39" s="18">
        <v>0.18</v>
      </c>
      <c r="D39" s="22">
        <v>8.2000000000000003E-2</v>
      </c>
      <c r="E39" s="18">
        <f t="shared" si="0"/>
        <v>0.19475999999999999</v>
      </c>
      <c r="F39" s="23">
        <v>3.5099999999999999E-2</v>
      </c>
      <c r="G39" s="18">
        <f t="shared" si="1"/>
        <v>0.20159607599999999</v>
      </c>
      <c r="H39" s="23">
        <v>3.4500000000000003E-2</v>
      </c>
      <c r="I39" s="18">
        <f t="shared" si="2"/>
        <v>0.20855114062199998</v>
      </c>
      <c r="J39" s="23">
        <v>5.4100000000000002E-2</v>
      </c>
      <c r="K39" s="18">
        <f t="shared" si="3"/>
        <v>0.21983375732965019</v>
      </c>
      <c r="L39" s="10">
        <v>300</v>
      </c>
      <c r="M39" s="24">
        <f t="shared" si="4"/>
        <v>0</v>
      </c>
      <c r="N39" s="10">
        <f>SUM(Janeiro:Março!K40)</f>
        <v>296</v>
      </c>
      <c r="O39" s="24">
        <f t="shared" si="5"/>
        <v>-296</v>
      </c>
      <c r="P39" s="18">
        <f t="shared" si="6"/>
        <v>0</v>
      </c>
      <c r="Q39" s="18">
        <f t="shared" si="7"/>
        <v>65.07079216957645</v>
      </c>
      <c r="R39" s="18">
        <f t="shared" si="8"/>
        <v>-65.07079216957645</v>
      </c>
    </row>
    <row r="40" spans="1:18" ht="35" x14ac:dyDescent="0.35">
      <c r="A40" s="10">
        <v>39</v>
      </c>
      <c r="B40" s="13" t="s">
        <v>468</v>
      </c>
      <c r="C40" s="18">
        <v>15</v>
      </c>
      <c r="D40" s="22">
        <v>8.2000000000000003E-2</v>
      </c>
      <c r="E40" s="18">
        <f t="shared" si="0"/>
        <v>16.23</v>
      </c>
      <c r="F40" s="23">
        <v>3.5099999999999999E-2</v>
      </c>
      <c r="G40" s="18">
        <f t="shared" si="1"/>
        <v>16.799673000000002</v>
      </c>
      <c r="H40" s="23">
        <v>3.4500000000000003E-2</v>
      </c>
      <c r="I40" s="18">
        <f t="shared" si="2"/>
        <v>17.379261718500004</v>
      </c>
      <c r="J40" s="23">
        <v>5.4100000000000002E-2</v>
      </c>
      <c r="K40" s="18">
        <f t="shared" si="3"/>
        <v>18.319479777470853</v>
      </c>
      <c r="L40" s="10">
        <v>30</v>
      </c>
      <c r="M40" s="24">
        <f t="shared" si="4"/>
        <v>0</v>
      </c>
      <c r="N40" s="10">
        <f>SUM(Janeiro:Março!K41)</f>
        <v>18</v>
      </c>
      <c r="O40" s="24">
        <f t="shared" si="5"/>
        <v>-18</v>
      </c>
      <c r="P40" s="18">
        <f t="shared" si="6"/>
        <v>0</v>
      </c>
      <c r="Q40" s="18">
        <f t="shared" si="7"/>
        <v>329.75063599447537</v>
      </c>
      <c r="R40" s="18">
        <f t="shared" si="8"/>
        <v>-329.75063599447537</v>
      </c>
    </row>
    <row r="41" spans="1:18" ht="70" x14ac:dyDescent="0.35">
      <c r="A41" s="10">
        <v>40</v>
      </c>
      <c r="B41" s="13" t="s">
        <v>469</v>
      </c>
      <c r="C41" s="18">
        <v>14.25</v>
      </c>
      <c r="D41" s="22">
        <v>8.2000000000000003E-2</v>
      </c>
      <c r="E41" s="18">
        <f t="shared" si="0"/>
        <v>15.4185</v>
      </c>
      <c r="F41" s="23">
        <v>3.5099999999999999E-2</v>
      </c>
      <c r="G41" s="18">
        <f t="shared" si="1"/>
        <v>15.95968935</v>
      </c>
      <c r="H41" s="23">
        <v>3.4500000000000003E-2</v>
      </c>
      <c r="I41" s="18">
        <f t="shared" si="2"/>
        <v>16.510298632575001</v>
      </c>
      <c r="J41" s="23">
        <v>5.4100000000000002E-2</v>
      </c>
      <c r="K41" s="18">
        <f t="shared" si="3"/>
        <v>17.403505788597307</v>
      </c>
      <c r="L41" s="10">
        <v>30</v>
      </c>
      <c r="M41" s="24">
        <f t="shared" si="4"/>
        <v>0</v>
      </c>
      <c r="N41" s="10">
        <f>SUM(Janeiro:Março!K42)</f>
        <v>13</v>
      </c>
      <c r="O41" s="24">
        <f t="shared" si="5"/>
        <v>-13</v>
      </c>
      <c r="P41" s="18">
        <f t="shared" si="6"/>
        <v>0</v>
      </c>
      <c r="Q41" s="18">
        <f t="shared" si="7"/>
        <v>226.24557525176499</v>
      </c>
      <c r="R41" s="18">
        <f t="shared" si="8"/>
        <v>-226.24557525176499</v>
      </c>
    </row>
    <row r="42" spans="1:18" ht="70" x14ac:dyDescent="0.35">
      <c r="A42" s="10">
        <v>41</v>
      </c>
      <c r="B42" s="13" t="s">
        <v>470</v>
      </c>
      <c r="C42" s="18">
        <v>7.88</v>
      </c>
      <c r="D42" s="22">
        <v>8.2000000000000003E-2</v>
      </c>
      <c r="E42" s="18">
        <f t="shared" si="0"/>
        <v>8.5261600000000008</v>
      </c>
      <c r="F42" s="23">
        <v>3.5099999999999999E-2</v>
      </c>
      <c r="G42" s="18">
        <f t="shared" si="1"/>
        <v>8.8254282160000006</v>
      </c>
      <c r="H42" s="23">
        <v>3.4500000000000003E-2</v>
      </c>
      <c r="I42" s="18">
        <f t="shared" si="2"/>
        <v>9.1299054894519998</v>
      </c>
      <c r="J42" s="23">
        <v>5.4100000000000002E-2</v>
      </c>
      <c r="K42" s="18">
        <f t="shared" si="3"/>
        <v>9.6238333764313531</v>
      </c>
      <c r="L42" s="10">
        <v>30</v>
      </c>
      <c r="M42" s="24">
        <f t="shared" si="4"/>
        <v>0</v>
      </c>
      <c r="N42" s="10">
        <f>SUM(Janeiro:Março!K43)</f>
        <v>27</v>
      </c>
      <c r="O42" s="24">
        <f t="shared" si="5"/>
        <v>-27</v>
      </c>
      <c r="P42" s="18">
        <f t="shared" si="6"/>
        <v>0</v>
      </c>
      <c r="Q42" s="18">
        <f t="shared" si="7"/>
        <v>259.84350116364652</v>
      </c>
      <c r="R42" s="18">
        <f t="shared" si="8"/>
        <v>-259.84350116364652</v>
      </c>
    </row>
    <row r="43" spans="1:18" ht="70" x14ac:dyDescent="0.35">
      <c r="A43" s="10">
        <v>42</v>
      </c>
      <c r="B43" s="13" t="s">
        <v>471</v>
      </c>
      <c r="C43" s="18">
        <v>7.88</v>
      </c>
      <c r="D43" s="22">
        <v>8.2000000000000003E-2</v>
      </c>
      <c r="E43" s="18">
        <f t="shared" si="0"/>
        <v>8.5261600000000008</v>
      </c>
      <c r="F43" s="23">
        <v>3.5099999999999999E-2</v>
      </c>
      <c r="G43" s="18">
        <f t="shared" si="1"/>
        <v>8.8254282160000006</v>
      </c>
      <c r="H43" s="23">
        <v>3.4500000000000003E-2</v>
      </c>
      <c r="I43" s="18">
        <f t="shared" si="2"/>
        <v>9.1299054894519998</v>
      </c>
      <c r="J43" s="23">
        <v>5.4100000000000002E-2</v>
      </c>
      <c r="K43" s="18">
        <f t="shared" si="3"/>
        <v>9.6238333764313531</v>
      </c>
      <c r="L43" s="10">
        <v>30</v>
      </c>
      <c r="M43" s="24">
        <f t="shared" si="4"/>
        <v>0</v>
      </c>
      <c r="N43" s="10">
        <f>SUM(Janeiro:Março!K44)</f>
        <v>0</v>
      </c>
      <c r="O43" s="24">
        <f t="shared" si="5"/>
        <v>0</v>
      </c>
      <c r="P43" s="18">
        <f t="shared" si="6"/>
        <v>0</v>
      </c>
      <c r="Q43" s="18">
        <f t="shared" si="7"/>
        <v>0</v>
      </c>
      <c r="R43" s="18">
        <f t="shared" si="8"/>
        <v>0</v>
      </c>
    </row>
  </sheetData>
  <autoFilter ref="A1:R43" xr:uid="{0BF27B1D-3098-40B0-B505-92EA74699D82}"/>
  <conditionalFormatting sqref="O2:O43">
    <cfRule type="cellIs" dxfId="4" priority="1" operator="lessThan">
      <formula>0</formula>
    </cfRule>
    <cfRule type="cellIs" dxfId="3" priority="2" operator="greaterThan">
      <formula>0</formula>
    </cfRule>
    <cfRule type="aboveAverage" dxfId="2" priority="5"/>
  </conditionalFormatting>
  <conditionalFormatting sqref="R2:R43">
    <cfRule type="cellIs" dxfId="1" priority="6" stopIfTrue="1" operator="lessThan">
      <formula>0</formula>
    </cfRule>
    <cfRule type="cellIs" dxfId="0" priority="7" stopIfTrue="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Resumo Contrato Reajustado 2026</vt:lpstr>
      <vt:lpstr>Janeiro</vt:lpstr>
      <vt:lpstr>Fevereiro</vt:lpstr>
      <vt:lpstr>Março</vt:lpstr>
      <vt:lpstr>Abril</vt:lpstr>
      <vt:lpstr>Maio</vt:lpstr>
      <vt:lpstr>Junho</vt:lpstr>
      <vt:lpstr>Consolidação</vt:lpstr>
      <vt:lpstr>'Resumo Contrato Reajustado 2026'!Area_de_impressao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Amaral Souza</dc:creator>
  <cp:keywords/>
  <dc:description/>
  <cp:lastModifiedBy>Bruno Soares Vargas</cp:lastModifiedBy>
  <cp:revision/>
  <dcterms:created xsi:type="dcterms:W3CDTF">2021-07-27T20:16:55Z</dcterms:created>
  <dcterms:modified xsi:type="dcterms:W3CDTF">2026-08-27T14:09:03Z</dcterms:modified>
  <cp:category/>
  <cp:contentStatus/>
</cp:coreProperties>
</file>