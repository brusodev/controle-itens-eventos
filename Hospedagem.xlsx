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S:\DA\Diretoria - D.A\GESTÃO 2025\_PREGÃO ELETRONICO\NOVA ATA HOSPEDAGEM E ALIMENTAÇÃO\"/>
    </mc:Choice>
  </mc:AlternateContent>
  <xr:revisionPtr revIDLastSave="0" documentId="13_ncr:1_{6B807142-5ED5-4189-AB83-E6F58120B2E5}" xr6:coauthVersionLast="47" xr6:coauthVersionMax="47" xr10:uidLastSave="{00000000-0000-0000-0000-000000000000}"/>
  <bookViews>
    <workbookView xWindow="-28920" yWindow="-60" windowWidth="29040" windowHeight="15840" xr2:uid="{2F7C4481-36F8-4C09-AB3A-51ED1C5AB4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G107" i="1"/>
  <c r="G105" i="1"/>
  <c r="G103" i="1"/>
  <c r="G98" i="1"/>
  <c r="G96" i="1"/>
  <c r="G94" i="1"/>
  <c r="G99" i="1" s="1"/>
  <c r="G90" i="1"/>
  <c r="G89" i="1"/>
  <c r="G87" i="1"/>
  <c r="G85" i="1"/>
  <c r="G80" i="1"/>
  <c r="G78" i="1"/>
  <c r="G76" i="1"/>
  <c r="G81" i="1" s="1"/>
  <c r="G72" i="1"/>
  <c r="G71" i="1"/>
  <c r="G69" i="1"/>
  <c r="G67" i="1"/>
  <c r="G62" i="1"/>
  <c r="G60" i="1"/>
  <c r="G58" i="1"/>
  <c r="G63" i="1" s="1"/>
  <c r="G54" i="1"/>
  <c r="G53" i="1"/>
  <c r="G51" i="1"/>
  <c r="G49" i="1"/>
  <c r="G44" i="1"/>
  <c r="G42" i="1"/>
  <c r="G40" i="1"/>
  <c r="G45" i="1" s="1"/>
  <c r="G35" i="1"/>
  <c r="G36" i="1" s="1"/>
  <c r="G33" i="1"/>
  <c r="G31" i="1"/>
  <c r="G18" i="1"/>
  <c r="G26" i="1"/>
  <c r="G27" i="1" s="1"/>
  <c r="G24" i="1"/>
  <c r="G22" i="1"/>
  <c r="G17" i="1"/>
  <c r="G15" i="1"/>
  <c r="G13" i="1"/>
  <c r="G8" i="1"/>
  <c r="G6" i="1"/>
  <c r="G4" i="1"/>
  <c r="G9" i="1" s="1"/>
  <c r="G109" i="1" l="1"/>
</calcChain>
</file>

<file path=xl/sharedStrings.xml><?xml version="1.0" encoding="utf-8"?>
<sst xmlns="http://schemas.openxmlformats.org/spreadsheetml/2006/main" count="199" uniqueCount="24">
  <si>
    <t>1 </t>
  </si>
  <si>
    <t>Apartamento single  </t>
  </si>
  <si>
    <t>9946 </t>
  </si>
  <si>
    <t>2 </t>
  </si>
  <si>
    <t>Apartamento duplo  </t>
  </si>
  <si>
    <t>3 </t>
  </si>
  <si>
    <t>Apartamento triplo  </t>
  </si>
  <si>
    <r>
      <t>LOTE 1</t>
    </r>
    <r>
      <rPr>
        <sz val="10"/>
        <rFont val="Aptos Display"/>
        <family val="2"/>
        <scheme val="major"/>
      </rPr>
      <t> </t>
    </r>
  </si>
  <si>
    <r>
      <t>VALOR TOTAL</t>
    </r>
    <r>
      <rPr>
        <sz val="10"/>
        <rFont val="Aptos Display"/>
        <family val="2"/>
        <scheme val="major"/>
      </rPr>
      <t> </t>
    </r>
  </si>
  <si>
    <r>
      <t>ITEM</t>
    </r>
    <r>
      <rPr>
        <sz val="10"/>
        <rFont val="Aptos Display"/>
        <family val="2"/>
        <scheme val="major"/>
      </rPr>
      <t> </t>
    </r>
  </si>
  <si>
    <r>
      <t>ESPECIFICAÇÃO</t>
    </r>
    <r>
      <rPr>
        <sz val="10"/>
        <rFont val="Aptos Display"/>
        <family val="2"/>
        <scheme val="major"/>
      </rPr>
      <t> </t>
    </r>
  </si>
  <si>
    <r>
      <t>CATSERV</t>
    </r>
    <r>
      <rPr>
        <sz val="10"/>
        <rFont val="Aptos Display"/>
        <family val="2"/>
        <scheme val="major"/>
      </rPr>
      <t> </t>
    </r>
  </si>
  <si>
    <r>
      <t>QUANTIDADE</t>
    </r>
    <r>
      <rPr>
        <sz val="10"/>
        <rFont val="Aptos Display"/>
        <family val="2"/>
        <scheme val="major"/>
      </rPr>
      <t> </t>
    </r>
  </si>
  <si>
    <t>VALOR UNITÁRIO</t>
  </si>
  <si>
    <t>VALOR TOTAL</t>
  </si>
  <si>
    <t>LOTE 2</t>
  </si>
  <si>
    <t>LOTE 3</t>
  </si>
  <si>
    <t>LOTE 4</t>
  </si>
  <si>
    <t>LOTE 5</t>
  </si>
  <si>
    <t>LOTE 6</t>
  </si>
  <si>
    <t>MEIA PENSÃO  (Café+Almoço/ou Janta)</t>
  </si>
  <si>
    <r>
      <t>PENSÃO COMPLETA</t>
    </r>
    <r>
      <rPr>
        <sz val="10"/>
        <rFont val="Aptos Display"/>
        <family val="2"/>
        <scheme val="major"/>
      </rPr>
      <t> </t>
    </r>
    <r>
      <rPr>
        <b/>
        <sz val="10"/>
        <rFont val="Aptos Display"/>
        <family val="2"/>
        <scheme val="major"/>
      </rPr>
      <t>(Café+Almoço+Janta)</t>
    </r>
  </si>
  <si>
    <t>QUANTIDADE DE DIÁRIAS</t>
  </si>
  <si>
    <t>VALOR TOTAL DOS LOTES (1 Á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</si>
</sst>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4" fillId="0" borderId="1" xfId="1" applyFont="1" applyBorder="1" applyAlignment="1">
      <alignment horizontal="left" vertical="center" wrapText="1"/>
    </xf>
    <xf numFmtId="44" fontId="4" fillId="0" borderId="1" xfId="0" applyNumberFormat="1" applyFont="1" applyBorder="1" applyAlignment="1">
      <alignment horizontal="left"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2" fillId="8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4" fillId="0" borderId="1" xfId="1" applyFont="1" applyBorder="1" applyAlignment="1">
      <alignment horizontal="left" vertical="center" wrapText="1"/>
    </xf>
    <xf numFmtId="4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39C9-FB9F-4C61-A504-A2A8680AA2E6}">
  <dimension ref="B1:G109"/>
  <sheetViews>
    <sheetView tabSelected="1" topLeftCell="C75" zoomScale="91" zoomScaleNormal="91" workbookViewId="0">
      <selection activeCell="J101" sqref="J101"/>
    </sheetView>
  </sheetViews>
  <sheetFormatPr defaultRowHeight="15" x14ac:dyDescent="0.25"/>
  <cols>
    <col min="3" max="3" width="17.5703125" bestFit="1" customWidth="1"/>
    <col min="5" max="5" width="15.85546875" customWidth="1"/>
    <col min="6" max="6" width="10.42578125" customWidth="1"/>
    <col min="7" max="7" width="21.5703125" customWidth="1"/>
  </cols>
  <sheetData>
    <row r="1" spans="2:7" x14ac:dyDescent="0.25">
      <c r="B1" s="17" t="s">
        <v>7</v>
      </c>
      <c r="C1" s="17"/>
      <c r="D1" s="17"/>
      <c r="E1" s="17"/>
      <c r="F1" s="17"/>
      <c r="G1" s="17"/>
    </row>
    <row r="2" spans="2:7" x14ac:dyDescent="0.25">
      <c r="B2" s="7" t="s">
        <v>21</v>
      </c>
      <c r="C2" s="7"/>
      <c r="D2" s="7"/>
      <c r="E2" s="7"/>
      <c r="F2" s="7"/>
      <c r="G2" s="7"/>
    </row>
    <row r="3" spans="2:7" ht="27" x14ac:dyDescent="0.25">
      <c r="B3" s="1" t="s">
        <v>9</v>
      </c>
      <c r="C3" s="1" t="s">
        <v>10</v>
      </c>
      <c r="D3" s="1" t="s">
        <v>11</v>
      </c>
      <c r="E3" s="1" t="s">
        <v>22</v>
      </c>
      <c r="F3" s="1" t="s">
        <v>13</v>
      </c>
      <c r="G3" s="1" t="s">
        <v>14</v>
      </c>
    </row>
    <row r="4" spans="2:7" ht="20.25" customHeight="1" x14ac:dyDescent="0.25">
      <c r="B4" s="8" t="s">
        <v>0</v>
      </c>
      <c r="C4" s="8" t="s">
        <v>1</v>
      </c>
      <c r="D4" s="8" t="s">
        <v>2</v>
      </c>
      <c r="E4" s="8">
        <v>62</v>
      </c>
      <c r="F4" s="9">
        <v>443.69</v>
      </c>
      <c r="G4" s="13">
        <f>F4*E4</f>
        <v>27508.78</v>
      </c>
    </row>
    <row r="5" spans="2:7" x14ac:dyDescent="0.25">
      <c r="B5" s="8"/>
      <c r="C5" s="8"/>
      <c r="D5" s="8"/>
      <c r="E5" s="8"/>
      <c r="F5" s="9"/>
      <c r="G5" s="8"/>
    </row>
    <row r="6" spans="2:7" x14ac:dyDescent="0.25">
      <c r="B6" s="8" t="s">
        <v>3</v>
      </c>
      <c r="C6" s="8" t="s">
        <v>4</v>
      </c>
      <c r="D6" s="8" t="s">
        <v>2</v>
      </c>
      <c r="E6" s="8">
        <v>743</v>
      </c>
      <c r="F6" s="9">
        <v>510.81</v>
      </c>
      <c r="G6" s="10">
        <f>F6*E6</f>
        <v>379531.83</v>
      </c>
    </row>
    <row r="7" spans="2:7" x14ac:dyDescent="0.25">
      <c r="B7" s="8"/>
      <c r="C7" s="8"/>
      <c r="D7" s="8"/>
      <c r="E7" s="8"/>
      <c r="F7" s="9"/>
      <c r="G7" s="11"/>
    </row>
    <row r="8" spans="2:7" ht="29.25" customHeight="1" x14ac:dyDescent="0.25">
      <c r="B8" s="2" t="s">
        <v>5</v>
      </c>
      <c r="C8" s="2" t="s">
        <v>6</v>
      </c>
      <c r="D8" s="2" t="s">
        <v>2</v>
      </c>
      <c r="E8" s="2">
        <v>741</v>
      </c>
      <c r="F8" s="3">
        <v>465.36</v>
      </c>
      <c r="G8" s="4">
        <f>F8*E8</f>
        <v>344831.76</v>
      </c>
    </row>
    <row r="9" spans="2:7" ht="15" customHeight="1" x14ac:dyDescent="0.25">
      <c r="B9" s="7" t="s">
        <v>8</v>
      </c>
      <c r="C9" s="7"/>
      <c r="D9" s="7"/>
      <c r="E9" s="7"/>
      <c r="F9" s="7"/>
      <c r="G9" s="5">
        <f>G4+G6+G8</f>
        <v>751872.37</v>
      </c>
    </row>
    <row r="10" spans="2:7" x14ac:dyDescent="0.25">
      <c r="B10" s="17" t="s">
        <v>7</v>
      </c>
      <c r="C10" s="17"/>
      <c r="D10" s="17"/>
      <c r="E10" s="17"/>
      <c r="F10" s="17"/>
      <c r="G10" s="17"/>
    </row>
    <row r="11" spans="2:7" x14ac:dyDescent="0.25">
      <c r="B11" s="7" t="s">
        <v>20</v>
      </c>
      <c r="C11" s="7"/>
      <c r="D11" s="7"/>
      <c r="E11" s="7"/>
      <c r="F11" s="7"/>
      <c r="G11" s="7"/>
    </row>
    <row r="12" spans="2:7" ht="27" x14ac:dyDescent="0.25">
      <c r="B12" s="1" t="s">
        <v>9</v>
      </c>
      <c r="C12" s="1" t="s">
        <v>10</v>
      </c>
      <c r="D12" s="1" t="s">
        <v>11</v>
      </c>
      <c r="E12" s="1" t="s">
        <v>22</v>
      </c>
      <c r="F12" s="1" t="s">
        <v>13</v>
      </c>
      <c r="G12" s="1" t="s">
        <v>14</v>
      </c>
    </row>
    <row r="13" spans="2:7" x14ac:dyDescent="0.25">
      <c r="B13" s="8">
        <v>4</v>
      </c>
      <c r="C13" s="8" t="s">
        <v>1</v>
      </c>
      <c r="D13" s="8" t="s">
        <v>2</v>
      </c>
      <c r="E13" s="8">
        <v>62</v>
      </c>
      <c r="F13" s="9">
        <v>472.9</v>
      </c>
      <c r="G13" s="13">
        <f>F13*E13</f>
        <v>29319.8</v>
      </c>
    </row>
    <row r="14" spans="2:7" x14ac:dyDescent="0.25">
      <c r="B14" s="8"/>
      <c r="C14" s="8"/>
      <c r="D14" s="8"/>
      <c r="E14" s="8"/>
      <c r="F14" s="9"/>
      <c r="G14" s="8"/>
    </row>
    <row r="15" spans="2:7" x14ac:dyDescent="0.25">
      <c r="B15" s="8">
        <v>5</v>
      </c>
      <c r="C15" s="8" t="s">
        <v>4</v>
      </c>
      <c r="D15" s="8" t="s">
        <v>2</v>
      </c>
      <c r="E15" s="8">
        <v>742</v>
      </c>
      <c r="F15" s="9">
        <v>385.47</v>
      </c>
      <c r="G15" s="10">
        <f>F15*E15</f>
        <v>286018.74000000005</v>
      </c>
    </row>
    <row r="16" spans="2:7" x14ac:dyDescent="0.25">
      <c r="B16" s="8"/>
      <c r="C16" s="8"/>
      <c r="D16" s="8"/>
      <c r="E16" s="8"/>
      <c r="F16" s="9"/>
      <c r="G16" s="11"/>
    </row>
    <row r="17" spans="2:7" x14ac:dyDescent="0.25">
      <c r="B17" s="2">
        <v>6</v>
      </c>
      <c r="C17" s="2" t="s">
        <v>6</v>
      </c>
      <c r="D17" s="2" t="s">
        <v>2</v>
      </c>
      <c r="E17" s="2">
        <v>741</v>
      </c>
      <c r="F17" s="3">
        <v>385.47</v>
      </c>
      <c r="G17" s="4">
        <f>F17*E17</f>
        <v>285633.27</v>
      </c>
    </row>
    <row r="18" spans="2:7" ht="15" customHeight="1" x14ac:dyDescent="0.25">
      <c r="B18" s="7" t="s">
        <v>8</v>
      </c>
      <c r="C18" s="7"/>
      <c r="D18" s="7"/>
      <c r="E18" s="7"/>
      <c r="F18" s="7"/>
      <c r="G18" s="5">
        <f>G13+G15+G17</f>
        <v>600971.81000000006</v>
      </c>
    </row>
    <row r="19" spans="2:7" x14ac:dyDescent="0.25">
      <c r="B19" s="16" t="s">
        <v>15</v>
      </c>
      <c r="C19" s="16"/>
      <c r="D19" s="16"/>
      <c r="E19" s="16"/>
      <c r="F19" s="16"/>
      <c r="G19" s="16"/>
    </row>
    <row r="20" spans="2:7" ht="15" customHeight="1" x14ac:dyDescent="0.25">
      <c r="B20" s="7" t="s">
        <v>21</v>
      </c>
      <c r="C20" s="7"/>
      <c r="D20" s="7"/>
      <c r="E20" s="7"/>
      <c r="F20" s="7"/>
      <c r="G20" s="7"/>
    </row>
    <row r="21" spans="2:7" ht="27" x14ac:dyDescent="0.25">
      <c r="B21" s="1" t="s">
        <v>9</v>
      </c>
      <c r="C21" s="1" t="s">
        <v>10</v>
      </c>
      <c r="D21" s="1" t="s">
        <v>11</v>
      </c>
      <c r="E21" s="1" t="s">
        <v>22</v>
      </c>
      <c r="F21" s="1" t="s">
        <v>13</v>
      </c>
      <c r="G21" s="1" t="s">
        <v>14</v>
      </c>
    </row>
    <row r="22" spans="2:7" x14ac:dyDescent="0.25">
      <c r="B22" s="8" t="s">
        <v>0</v>
      </c>
      <c r="C22" s="8" t="s">
        <v>1</v>
      </c>
      <c r="D22" s="8" t="s">
        <v>2</v>
      </c>
      <c r="E22" s="8">
        <v>7</v>
      </c>
      <c r="F22" s="9">
        <v>443.69</v>
      </c>
      <c r="G22" s="13">
        <f>F22*E22</f>
        <v>3105.83</v>
      </c>
    </row>
    <row r="23" spans="2:7" x14ac:dyDescent="0.25">
      <c r="B23" s="8"/>
      <c r="C23" s="8"/>
      <c r="D23" s="8"/>
      <c r="E23" s="8"/>
      <c r="F23" s="9"/>
      <c r="G23" s="8"/>
    </row>
    <row r="24" spans="2:7" x14ac:dyDescent="0.25">
      <c r="B24" s="8" t="s">
        <v>3</v>
      </c>
      <c r="C24" s="8" t="s">
        <v>4</v>
      </c>
      <c r="D24" s="8" t="s">
        <v>2</v>
      </c>
      <c r="E24" s="8">
        <v>84</v>
      </c>
      <c r="F24" s="9">
        <v>510.81</v>
      </c>
      <c r="G24" s="10">
        <f>F24*E24</f>
        <v>42908.04</v>
      </c>
    </row>
    <row r="25" spans="2:7" x14ac:dyDescent="0.25">
      <c r="B25" s="8"/>
      <c r="C25" s="8"/>
      <c r="D25" s="8"/>
      <c r="E25" s="8"/>
      <c r="F25" s="9"/>
      <c r="G25" s="11"/>
    </row>
    <row r="26" spans="2:7" x14ac:dyDescent="0.25">
      <c r="B26" s="2" t="s">
        <v>5</v>
      </c>
      <c r="C26" s="2" t="s">
        <v>6</v>
      </c>
      <c r="D26" s="2" t="s">
        <v>2</v>
      </c>
      <c r="E26" s="2">
        <v>84</v>
      </c>
      <c r="F26" s="3">
        <v>465.36</v>
      </c>
      <c r="G26" s="4">
        <f>F26*E26</f>
        <v>39090.239999999998</v>
      </c>
    </row>
    <row r="27" spans="2:7" ht="15" customHeight="1" x14ac:dyDescent="0.25">
      <c r="B27" s="7" t="s">
        <v>8</v>
      </c>
      <c r="C27" s="7"/>
      <c r="D27" s="7"/>
      <c r="E27" s="7"/>
      <c r="F27" s="7"/>
      <c r="G27" s="5">
        <f>G22+G24+G26</f>
        <v>85104.11</v>
      </c>
    </row>
    <row r="28" spans="2:7" x14ac:dyDescent="0.25">
      <c r="B28" s="16" t="s">
        <v>15</v>
      </c>
      <c r="C28" s="16"/>
      <c r="D28" s="16"/>
      <c r="E28" s="16"/>
      <c r="F28" s="16"/>
      <c r="G28" s="16"/>
    </row>
    <row r="29" spans="2:7" ht="15" customHeight="1" x14ac:dyDescent="0.25">
      <c r="B29" s="7" t="s">
        <v>20</v>
      </c>
      <c r="C29" s="7"/>
      <c r="D29" s="7"/>
      <c r="E29" s="7"/>
      <c r="F29" s="7"/>
      <c r="G29" s="7"/>
    </row>
    <row r="30" spans="2:7" ht="27" x14ac:dyDescent="0.25">
      <c r="B30" s="1" t="s">
        <v>9</v>
      </c>
      <c r="C30" s="1" t="s">
        <v>10</v>
      </c>
      <c r="D30" s="1" t="s">
        <v>11</v>
      </c>
      <c r="E30" s="1" t="s">
        <v>12</v>
      </c>
      <c r="F30" s="1" t="s">
        <v>13</v>
      </c>
      <c r="G30" s="1" t="s">
        <v>14</v>
      </c>
    </row>
    <row r="31" spans="2:7" x14ac:dyDescent="0.25">
      <c r="B31" s="8">
        <v>4</v>
      </c>
      <c r="C31" s="8" t="s">
        <v>1</v>
      </c>
      <c r="D31" s="8" t="s">
        <v>2</v>
      </c>
      <c r="E31" s="8">
        <v>7</v>
      </c>
      <c r="F31" s="9">
        <v>472.9</v>
      </c>
      <c r="G31" s="13">
        <f>F31*E31</f>
        <v>3310.2999999999997</v>
      </c>
    </row>
    <row r="32" spans="2:7" x14ac:dyDescent="0.25">
      <c r="B32" s="8"/>
      <c r="C32" s="8"/>
      <c r="D32" s="8"/>
      <c r="E32" s="8"/>
      <c r="F32" s="9"/>
      <c r="G32" s="8"/>
    </row>
    <row r="33" spans="2:7" x14ac:dyDescent="0.25">
      <c r="B33" s="8">
        <v>5</v>
      </c>
      <c r="C33" s="8" t="s">
        <v>4</v>
      </c>
      <c r="D33" s="8" t="s">
        <v>2</v>
      </c>
      <c r="E33" s="8">
        <v>84</v>
      </c>
      <c r="F33" s="9">
        <v>385.47</v>
      </c>
      <c r="G33" s="10">
        <f>F33*E33</f>
        <v>32379.480000000003</v>
      </c>
    </row>
    <row r="34" spans="2:7" x14ac:dyDescent="0.25">
      <c r="B34" s="8"/>
      <c r="C34" s="8"/>
      <c r="D34" s="8"/>
      <c r="E34" s="8"/>
      <c r="F34" s="9"/>
      <c r="G34" s="11"/>
    </row>
    <row r="35" spans="2:7" x14ac:dyDescent="0.25">
      <c r="B35" s="2">
        <v>6</v>
      </c>
      <c r="C35" s="2" t="s">
        <v>6</v>
      </c>
      <c r="D35" s="2" t="s">
        <v>2</v>
      </c>
      <c r="E35" s="2">
        <v>84</v>
      </c>
      <c r="F35" s="3">
        <v>385.47</v>
      </c>
      <c r="G35" s="4">
        <f>F35*E35</f>
        <v>32379.480000000003</v>
      </c>
    </row>
    <row r="36" spans="2:7" ht="15" customHeight="1" x14ac:dyDescent="0.25">
      <c r="B36" s="7" t="s">
        <v>8</v>
      </c>
      <c r="C36" s="7"/>
      <c r="D36" s="7"/>
      <c r="E36" s="7"/>
      <c r="F36" s="7"/>
      <c r="G36" s="5">
        <f>G31+G33+G35</f>
        <v>68069.260000000009</v>
      </c>
    </row>
    <row r="37" spans="2:7" x14ac:dyDescent="0.25">
      <c r="B37" s="15" t="s">
        <v>16</v>
      </c>
      <c r="C37" s="15"/>
      <c r="D37" s="15"/>
      <c r="E37" s="15"/>
      <c r="F37" s="15"/>
      <c r="G37" s="15"/>
    </row>
    <row r="38" spans="2:7" ht="15" customHeight="1" x14ac:dyDescent="0.25">
      <c r="B38" s="7" t="s">
        <v>21</v>
      </c>
      <c r="C38" s="7"/>
      <c r="D38" s="7"/>
      <c r="E38" s="7"/>
      <c r="F38" s="7"/>
      <c r="G38" s="7"/>
    </row>
    <row r="39" spans="2:7" ht="27" x14ac:dyDescent="0.25">
      <c r="B39" s="1" t="s">
        <v>9</v>
      </c>
      <c r="C39" s="1" t="s">
        <v>10</v>
      </c>
      <c r="D39" s="1" t="s">
        <v>11</v>
      </c>
      <c r="E39" s="1" t="s">
        <v>22</v>
      </c>
      <c r="F39" s="1" t="s">
        <v>13</v>
      </c>
      <c r="G39" s="1" t="s">
        <v>14</v>
      </c>
    </row>
    <row r="40" spans="2:7" x14ac:dyDescent="0.25">
      <c r="B40" s="8" t="s">
        <v>0</v>
      </c>
      <c r="C40" s="8" t="s">
        <v>1</v>
      </c>
      <c r="D40" s="8" t="s">
        <v>2</v>
      </c>
      <c r="E40" s="8">
        <v>7</v>
      </c>
      <c r="F40" s="9">
        <v>443.69</v>
      </c>
      <c r="G40" s="13">
        <f>F40*E40</f>
        <v>3105.83</v>
      </c>
    </row>
    <row r="41" spans="2:7" x14ac:dyDescent="0.25">
      <c r="B41" s="8"/>
      <c r="C41" s="8"/>
      <c r="D41" s="8"/>
      <c r="E41" s="8"/>
      <c r="F41" s="9"/>
      <c r="G41" s="8"/>
    </row>
    <row r="42" spans="2:7" x14ac:dyDescent="0.25">
      <c r="B42" s="8" t="s">
        <v>3</v>
      </c>
      <c r="C42" s="8" t="s">
        <v>4</v>
      </c>
      <c r="D42" s="8" t="s">
        <v>2</v>
      </c>
      <c r="E42" s="8">
        <v>84</v>
      </c>
      <c r="F42" s="9">
        <v>510.81</v>
      </c>
      <c r="G42" s="10">
        <f>F42*E42</f>
        <v>42908.04</v>
      </c>
    </row>
    <row r="43" spans="2:7" x14ac:dyDescent="0.25">
      <c r="B43" s="8"/>
      <c r="C43" s="8"/>
      <c r="D43" s="8"/>
      <c r="E43" s="8"/>
      <c r="F43" s="9"/>
      <c r="G43" s="11"/>
    </row>
    <row r="44" spans="2:7" x14ac:dyDescent="0.25">
      <c r="B44" s="2" t="s">
        <v>5</v>
      </c>
      <c r="C44" s="2" t="s">
        <v>6</v>
      </c>
      <c r="D44" s="2" t="s">
        <v>2</v>
      </c>
      <c r="E44" s="2">
        <v>84</v>
      </c>
      <c r="F44" s="3">
        <v>465.36</v>
      </c>
      <c r="G44" s="4">
        <f>F44*E44</f>
        <v>39090.239999999998</v>
      </c>
    </row>
    <row r="45" spans="2:7" ht="15" customHeight="1" x14ac:dyDescent="0.25">
      <c r="B45" s="7" t="s">
        <v>8</v>
      </c>
      <c r="C45" s="7"/>
      <c r="D45" s="7"/>
      <c r="E45" s="7"/>
      <c r="F45" s="7"/>
      <c r="G45" s="5">
        <f>G40+G42+G44</f>
        <v>85104.11</v>
      </c>
    </row>
    <row r="46" spans="2:7" x14ac:dyDescent="0.25">
      <c r="B46" s="15" t="s">
        <v>16</v>
      </c>
      <c r="C46" s="15"/>
      <c r="D46" s="15"/>
      <c r="E46" s="15"/>
      <c r="F46" s="15"/>
      <c r="G46" s="15"/>
    </row>
    <row r="47" spans="2:7" ht="15" customHeight="1" x14ac:dyDescent="0.25">
      <c r="B47" s="7" t="s">
        <v>20</v>
      </c>
      <c r="C47" s="7"/>
      <c r="D47" s="7"/>
      <c r="E47" s="7"/>
      <c r="F47" s="7"/>
      <c r="G47" s="7"/>
    </row>
    <row r="48" spans="2:7" ht="27" x14ac:dyDescent="0.25">
      <c r="B48" s="1" t="s">
        <v>9</v>
      </c>
      <c r="C48" s="1" t="s">
        <v>10</v>
      </c>
      <c r="D48" s="1" t="s">
        <v>11</v>
      </c>
      <c r="E48" s="1" t="s">
        <v>22</v>
      </c>
      <c r="F48" s="1" t="s">
        <v>13</v>
      </c>
      <c r="G48" s="1" t="s">
        <v>14</v>
      </c>
    </row>
    <row r="49" spans="2:7" x14ac:dyDescent="0.25">
      <c r="B49" s="8">
        <v>4</v>
      </c>
      <c r="C49" s="8" t="s">
        <v>1</v>
      </c>
      <c r="D49" s="8" t="s">
        <v>2</v>
      </c>
      <c r="E49" s="8">
        <v>7</v>
      </c>
      <c r="F49" s="9">
        <v>472.9</v>
      </c>
      <c r="G49" s="13">
        <f>F49*E49</f>
        <v>3310.2999999999997</v>
      </c>
    </row>
    <row r="50" spans="2:7" x14ac:dyDescent="0.25">
      <c r="B50" s="8"/>
      <c r="C50" s="8"/>
      <c r="D50" s="8"/>
      <c r="E50" s="8"/>
      <c r="F50" s="9"/>
      <c r="G50" s="8"/>
    </row>
    <row r="51" spans="2:7" x14ac:dyDescent="0.25">
      <c r="B51" s="8">
        <v>5</v>
      </c>
      <c r="C51" s="8" t="s">
        <v>4</v>
      </c>
      <c r="D51" s="8" t="s">
        <v>2</v>
      </c>
      <c r="E51" s="8">
        <v>84</v>
      </c>
      <c r="F51" s="9">
        <v>385.47</v>
      </c>
      <c r="G51" s="10">
        <f>F51*E51</f>
        <v>32379.480000000003</v>
      </c>
    </row>
    <row r="52" spans="2:7" x14ac:dyDescent="0.25">
      <c r="B52" s="8"/>
      <c r="C52" s="8"/>
      <c r="D52" s="8"/>
      <c r="E52" s="8"/>
      <c r="F52" s="9"/>
      <c r="G52" s="11"/>
    </row>
    <row r="53" spans="2:7" x14ac:dyDescent="0.25">
      <c r="B53" s="2">
        <v>6</v>
      </c>
      <c r="C53" s="2" t="s">
        <v>6</v>
      </c>
      <c r="D53" s="2" t="s">
        <v>2</v>
      </c>
      <c r="E53" s="2">
        <v>84</v>
      </c>
      <c r="F53" s="3">
        <v>385.47</v>
      </c>
      <c r="G53" s="4">
        <f>F53*E53</f>
        <v>32379.480000000003</v>
      </c>
    </row>
    <row r="54" spans="2:7" ht="15" customHeight="1" x14ac:dyDescent="0.25">
      <c r="B54" s="7" t="s">
        <v>8</v>
      </c>
      <c r="C54" s="7"/>
      <c r="D54" s="7"/>
      <c r="E54" s="7"/>
      <c r="F54" s="7"/>
      <c r="G54" s="5">
        <f>G49+G51+G53</f>
        <v>68069.260000000009</v>
      </c>
    </row>
    <row r="55" spans="2:7" x14ac:dyDescent="0.25">
      <c r="B55" s="7" t="s">
        <v>17</v>
      </c>
      <c r="C55" s="7"/>
      <c r="D55" s="7"/>
      <c r="E55" s="7"/>
      <c r="F55" s="7"/>
      <c r="G55" s="7"/>
    </row>
    <row r="56" spans="2:7" ht="15" customHeight="1" x14ac:dyDescent="0.25">
      <c r="B56" s="7" t="s">
        <v>21</v>
      </c>
      <c r="C56" s="7"/>
      <c r="D56" s="7"/>
      <c r="E56" s="7"/>
      <c r="F56" s="7"/>
      <c r="G56" s="7"/>
    </row>
    <row r="57" spans="2:7" ht="27" x14ac:dyDescent="0.25">
      <c r="B57" s="1" t="s">
        <v>9</v>
      </c>
      <c r="C57" s="1" t="s">
        <v>10</v>
      </c>
      <c r="D57" s="1" t="s">
        <v>11</v>
      </c>
      <c r="E57" s="1" t="s">
        <v>22</v>
      </c>
      <c r="F57" s="1" t="s">
        <v>13</v>
      </c>
      <c r="G57" s="1" t="s">
        <v>14</v>
      </c>
    </row>
    <row r="58" spans="2:7" x14ac:dyDescent="0.25">
      <c r="B58" s="8" t="s">
        <v>0</v>
      </c>
      <c r="C58" s="8" t="s">
        <v>1</v>
      </c>
      <c r="D58" s="8" t="s">
        <v>2</v>
      </c>
      <c r="E58" s="8">
        <v>8</v>
      </c>
      <c r="F58" s="9">
        <v>443.69</v>
      </c>
      <c r="G58" s="13">
        <f>F58*E58</f>
        <v>3549.52</v>
      </c>
    </row>
    <row r="59" spans="2:7" x14ac:dyDescent="0.25">
      <c r="B59" s="8"/>
      <c r="C59" s="8"/>
      <c r="D59" s="8"/>
      <c r="E59" s="8"/>
      <c r="F59" s="9"/>
      <c r="G59" s="8"/>
    </row>
    <row r="60" spans="2:7" x14ac:dyDescent="0.25">
      <c r="B60" s="8" t="s">
        <v>3</v>
      </c>
      <c r="C60" s="8" t="s">
        <v>4</v>
      </c>
      <c r="D60" s="8" t="s">
        <v>2</v>
      </c>
      <c r="E60" s="8">
        <v>96</v>
      </c>
      <c r="F60" s="9">
        <v>510.81</v>
      </c>
      <c r="G60" s="10">
        <f>F60*E60</f>
        <v>49037.760000000002</v>
      </c>
    </row>
    <row r="61" spans="2:7" x14ac:dyDescent="0.25">
      <c r="B61" s="8"/>
      <c r="C61" s="8"/>
      <c r="D61" s="8"/>
      <c r="E61" s="8"/>
      <c r="F61" s="9"/>
      <c r="G61" s="11"/>
    </row>
    <row r="62" spans="2:7" x14ac:dyDescent="0.25">
      <c r="B62" s="2" t="s">
        <v>5</v>
      </c>
      <c r="C62" s="2" t="s">
        <v>6</v>
      </c>
      <c r="D62" s="2" t="s">
        <v>2</v>
      </c>
      <c r="E62" s="2">
        <v>96</v>
      </c>
      <c r="F62" s="3">
        <v>465.36</v>
      </c>
      <c r="G62" s="4">
        <f>F62*E62</f>
        <v>44674.559999999998</v>
      </c>
    </row>
    <row r="63" spans="2:7" ht="15" customHeight="1" x14ac:dyDescent="0.25">
      <c r="B63" s="7" t="s">
        <v>8</v>
      </c>
      <c r="C63" s="7"/>
      <c r="D63" s="7"/>
      <c r="E63" s="7"/>
      <c r="F63" s="7"/>
      <c r="G63" s="5">
        <f>G58+G60+G62</f>
        <v>97261.84</v>
      </c>
    </row>
    <row r="64" spans="2:7" x14ac:dyDescent="0.25">
      <c r="B64" s="7" t="s">
        <v>17</v>
      </c>
      <c r="C64" s="7"/>
      <c r="D64" s="7"/>
      <c r="E64" s="7"/>
      <c r="F64" s="7"/>
      <c r="G64" s="7"/>
    </row>
    <row r="65" spans="2:7" ht="15" customHeight="1" x14ac:dyDescent="0.25">
      <c r="B65" s="7" t="s">
        <v>20</v>
      </c>
      <c r="C65" s="7"/>
      <c r="D65" s="7"/>
      <c r="E65" s="7"/>
      <c r="F65" s="7"/>
      <c r="G65" s="7"/>
    </row>
    <row r="66" spans="2:7" ht="27" x14ac:dyDescent="0.25">
      <c r="B66" s="1" t="s">
        <v>9</v>
      </c>
      <c r="C66" s="1" t="s">
        <v>10</v>
      </c>
      <c r="D66" s="1" t="s">
        <v>11</v>
      </c>
      <c r="E66" s="1" t="s">
        <v>22</v>
      </c>
      <c r="F66" s="1" t="s">
        <v>13</v>
      </c>
      <c r="G66" s="1" t="s">
        <v>14</v>
      </c>
    </row>
    <row r="67" spans="2:7" x14ac:dyDescent="0.25">
      <c r="B67" s="8">
        <v>4</v>
      </c>
      <c r="C67" s="8" t="s">
        <v>1</v>
      </c>
      <c r="D67" s="8" t="s">
        <v>2</v>
      </c>
      <c r="E67" s="8">
        <v>8</v>
      </c>
      <c r="F67" s="9">
        <v>472.9</v>
      </c>
      <c r="G67" s="13">
        <f>F67*E67</f>
        <v>3783.2</v>
      </c>
    </row>
    <row r="68" spans="2:7" x14ac:dyDescent="0.25">
      <c r="B68" s="8"/>
      <c r="C68" s="8"/>
      <c r="D68" s="8"/>
      <c r="E68" s="8"/>
      <c r="F68" s="9"/>
      <c r="G68" s="8"/>
    </row>
    <row r="69" spans="2:7" x14ac:dyDescent="0.25">
      <c r="B69" s="8">
        <v>5</v>
      </c>
      <c r="C69" s="8" t="s">
        <v>4</v>
      </c>
      <c r="D69" s="8" t="s">
        <v>2</v>
      </c>
      <c r="E69" s="8">
        <v>96</v>
      </c>
      <c r="F69" s="9">
        <v>385.47</v>
      </c>
      <c r="G69" s="10">
        <f>F69*E69</f>
        <v>37005.120000000003</v>
      </c>
    </row>
    <row r="70" spans="2:7" x14ac:dyDescent="0.25">
      <c r="B70" s="8"/>
      <c r="C70" s="8"/>
      <c r="D70" s="8"/>
      <c r="E70" s="8"/>
      <c r="F70" s="9"/>
      <c r="G70" s="11"/>
    </row>
    <row r="71" spans="2:7" x14ac:dyDescent="0.25">
      <c r="B71" s="2">
        <v>6</v>
      </c>
      <c r="C71" s="2" t="s">
        <v>6</v>
      </c>
      <c r="D71" s="2" t="s">
        <v>2</v>
      </c>
      <c r="E71" s="2">
        <v>96</v>
      </c>
      <c r="F71" s="3">
        <v>385.47</v>
      </c>
      <c r="G71" s="4">
        <f>F71*E71</f>
        <v>37005.120000000003</v>
      </c>
    </row>
    <row r="72" spans="2:7" ht="15" customHeight="1" x14ac:dyDescent="0.25">
      <c r="B72" s="7" t="s">
        <v>8</v>
      </c>
      <c r="C72" s="7"/>
      <c r="D72" s="7"/>
      <c r="E72" s="7"/>
      <c r="F72" s="7"/>
      <c r="G72" s="5">
        <f>G67+G69+G71</f>
        <v>77793.440000000002</v>
      </c>
    </row>
    <row r="73" spans="2:7" x14ac:dyDescent="0.25">
      <c r="B73" s="12" t="s">
        <v>18</v>
      </c>
      <c r="C73" s="12"/>
      <c r="D73" s="12"/>
      <c r="E73" s="12"/>
      <c r="F73" s="12"/>
      <c r="G73" s="12"/>
    </row>
    <row r="74" spans="2:7" ht="15" customHeight="1" x14ac:dyDescent="0.25">
      <c r="B74" s="7" t="s">
        <v>21</v>
      </c>
      <c r="C74" s="7"/>
      <c r="D74" s="7"/>
      <c r="E74" s="7"/>
      <c r="F74" s="7"/>
      <c r="G74" s="7"/>
    </row>
    <row r="75" spans="2:7" ht="27" x14ac:dyDescent="0.25">
      <c r="B75" s="1" t="s">
        <v>9</v>
      </c>
      <c r="C75" s="1" t="s">
        <v>10</v>
      </c>
      <c r="D75" s="1" t="s">
        <v>11</v>
      </c>
      <c r="E75" s="1" t="s">
        <v>22</v>
      </c>
      <c r="F75" s="1" t="s">
        <v>13</v>
      </c>
      <c r="G75" s="1" t="s">
        <v>14</v>
      </c>
    </row>
    <row r="76" spans="2:7" x14ac:dyDescent="0.25">
      <c r="B76" s="8" t="s">
        <v>0</v>
      </c>
      <c r="C76" s="8" t="s">
        <v>1</v>
      </c>
      <c r="D76" s="8" t="s">
        <v>2</v>
      </c>
      <c r="E76" s="8">
        <v>6</v>
      </c>
      <c r="F76" s="9">
        <v>443.69</v>
      </c>
      <c r="G76" s="13">
        <f>F76*E76</f>
        <v>2662.14</v>
      </c>
    </row>
    <row r="77" spans="2:7" x14ac:dyDescent="0.25">
      <c r="B77" s="8"/>
      <c r="C77" s="8"/>
      <c r="D77" s="8"/>
      <c r="E77" s="8"/>
      <c r="F77" s="9"/>
      <c r="G77" s="8"/>
    </row>
    <row r="78" spans="2:7" x14ac:dyDescent="0.25">
      <c r="B78" s="8" t="s">
        <v>3</v>
      </c>
      <c r="C78" s="8" t="s">
        <v>4</v>
      </c>
      <c r="D78" s="8" t="s">
        <v>2</v>
      </c>
      <c r="E78" s="8">
        <v>72</v>
      </c>
      <c r="F78" s="9">
        <v>510.81</v>
      </c>
      <c r="G78" s="10">
        <f>F78*E78</f>
        <v>36778.32</v>
      </c>
    </row>
    <row r="79" spans="2:7" x14ac:dyDescent="0.25">
      <c r="B79" s="8"/>
      <c r="C79" s="8"/>
      <c r="D79" s="8"/>
      <c r="E79" s="8"/>
      <c r="F79" s="9"/>
      <c r="G79" s="11"/>
    </row>
    <row r="80" spans="2:7" x14ac:dyDescent="0.25">
      <c r="B80" s="2" t="s">
        <v>5</v>
      </c>
      <c r="C80" s="2" t="s">
        <v>6</v>
      </c>
      <c r="D80" s="2" t="s">
        <v>2</v>
      </c>
      <c r="E80" s="2">
        <v>72</v>
      </c>
      <c r="F80" s="3">
        <v>465.36</v>
      </c>
      <c r="G80" s="4">
        <f>F80*E80</f>
        <v>33505.919999999998</v>
      </c>
    </row>
    <row r="81" spans="2:7" x14ac:dyDescent="0.25">
      <c r="B81" s="7" t="s">
        <v>8</v>
      </c>
      <c r="C81" s="7"/>
      <c r="D81" s="7"/>
      <c r="E81" s="7"/>
      <c r="F81" s="7"/>
      <c r="G81" s="5">
        <f>G76+G78+G80</f>
        <v>72946.38</v>
      </c>
    </row>
    <row r="82" spans="2:7" x14ac:dyDescent="0.25">
      <c r="B82" s="12" t="s">
        <v>18</v>
      </c>
      <c r="C82" s="12"/>
      <c r="D82" s="12"/>
      <c r="E82" s="12"/>
      <c r="F82" s="12"/>
      <c r="G82" s="12"/>
    </row>
    <row r="83" spans="2:7" ht="15" customHeight="1" x14ac:dyDescent="0.25">
      <c r="B83" s="7" t="s">
        <v>20</v>
      </c>
      <c r="C83" s="7"/>
      <c r="D83" s="7"/>
      <c r="E83" s="7"/>
      <c r="F83" s="7"/>
      <c r="G83" s="7"/>
    </row>
    <row r="84" spans="2:7" ht="27" x14ac:dyDescent="0.25">
      <c r="B84" s="1" t="s">
        <v>9</v>
      </c>
      <c r="C84" s="1" t="s">
        <v>10</v>
      </c>
      <c r="D84" s="1" t="s">
        <v>11</v>
      </c>
      <c r="E84" s="1" t="s">
        <v>22</v>
      </c>
      <c r="F84" s="1" t="s">
        <v>13</v>
      </c>
      <c r="G84" s="1" t="s">
        <v>14</v>
      </c>
    </row>
    <row r="85" spans="2:7" x14ac:dyDescent="0.25">
      <c r="B85" s="8">
        <v>4</v>
      </c>
      <c r="C85" s="8" t="s">
        <v>1</v>
      </c>
      <c r="D85" s="8" t="s">
        <v>2</v>
      </c>
      <c r="E85" s="8">
        <v>6</v>
      </c>
      <c r="F85" s="9">
        <v>472.9</v>
      </c>
      <c r="G85" s="13">
        <f>F85*E85</f>
        <v>2837.3999999999996</v>
      </c>
    </row>
    <row r="86" spans="2:7" x14ac:dyDescent="0.25">
      <c r="B86" s="8"/>
      <c r="C86" s="8"/>
      <c r="D86" s="8"/>
      <c r="E86" s="8"/>
      <c r="F86" s="9"/>
      <c r="G86" s="8"/>
    </row>
    <row r="87" spans="2:7" x14ac:dyDescent="0.25">
      <c r="B87" s="8">
        <v>5</v>
      </c>
      <c r="C87" s="8" t="s">
        <v>4</v>
      </c>
      <c r="D87" s="8" t="s">
        <v>2</v>
      </c>
      <c r="E87" s="8">
        <v>72</v>
      </c>
      <c r="F87" s="9">
        <v>385.47</v>
      </c>
      <c r="G87" s="10">
        <f>F87*E87</f>
        <v>27753.840000000004</v>
      </c>
    </row>
    <row r="88" spans="2:7" x14ac:dyDescent="0.25">
      <c r="B88" s="8"/>
      <c r="C88" s="8"/>
      <c r="D88" s="8"/>
      <c r="E88" s="8"/>
      <c r="F88" s="9"/>
      <c r="G88" s="11"/>
    </row>
    <row r="89" spans="2:7" x14ac:dyDescent="0.25">
      <c r="B89" s="2">
        <v>6</v>
      </c>
      <c r="C89" s="2" t="s">
        <v>6</v>
      </c>
      <c r="D89" s="2" t="s">
        <v>2</v>
      </c>
      <c r="E89" s="2">
        <v>72</v>
      </c>
      <c r="F89" s="3">
        <v>385.47</v>
      </c>
      <c r="G89" s="4">
        <f>F89*E89</f>
        <v>27753.840000000004</v>
      </c>
    </row>
    <row r="90" spans="2:7" ht="15" customHeight="1" x14ac:dyDescent="0.25">
      <c r="B90" s="7" t="s">
        <v>8</v>
      </c>
      <c r="C90" s="7"/>
      <c r="D90" s="7"/>
      <c r="E90" s="7"/>
      <c r="F90" s="7"/>
      <c r="G90" s="5">
        <f>G85+G87+G89</f>
        <v>58345.080000000009</v>
      </c>
    </row>
    <row r="91" spans="2:7" x14ac:dyDescent="0.25">
      <c r="B91" s="14" t="s">
        <v>19</v>
      </c>
      <c r="C91" s="14"/>
      <c r="D91" s="14"/>
      <c r="E91" s="14"/>
      <c r="F91" s="14"/>
      <c r="G91" s="14"/>
    </row>
    <row r="92" spans="2:7" ht="15" customHeight="1" x14ac:dyDescent="0.25">
      <c r="B92" s="7" t="s">
        <v>21</v>
      </c>
      <c r="C92" s="7"/>
      <c r="D92" s="7"/>
      <c r="E92" s="7"/>
      <c r="F92" s="7"/>
      <c r="G92" s="7"/>
    </row>
    <row r="93" spans="2:7" ht="27" x14ac:dyDescent="0.25">
      <c r="B93" s="1" t="s">
        <v>9</v>
      </c>
      <c r="C93" s="1" t="s">
        <v>10</v>
      </c>
      <c r="D93" s="1" t="s">
        <v>11</v>
      </c>
      <c r="E93" s="1" t="s">
        <v>22</v>
      </c>
      <c r="F93" s="1" t="s">
        <v>13</v>
      </c>
      <c r="G93" s="1" t="s">
        <v>14</v>
      </c>
    </row>
    <row r="94" spans="2:7" x14ac:dyDescent="0.25">
      <c r="B94" s="8" t="s">
        <v>0</v>
      </c>
      <c r="C94" s="8" t="s">
        <v>1</v>
      </c>
      <c r="D94" s="8" t="s">
        <v>2</v>
      </c>
      <c r="E94" s="8">
        <v>7</v>
      </c>
      <c r="F94" s="9">
        <v>443.69</v>
      </c>
      <c r="G94" s="13">
        <f>F94*E94</f>
        <v>3105.83</v>
      </c>
    </row>
    <row r="95" spans="2:7" x14ac:dyDescent="0.25">
      <c r="B95" s="8"/>
      <c r="C95" s="8"/>
      <c r="D95" s="8"/>
      <c r="E95" s="8"/>
      <c r="F95" s="9"/>
      <c r="G95" s="8"/>
    </row>
    <row r="96" spans="2:7" x14ac:dyDescent="0.25">
      <c r="B96" s="8" t="s">
        <v>3</v>
      </c>
      <c r="C96" s="8" t="s">
        <v>4</v>
      </c>
      <c r="D96" s="8" t="s">
        <v>2</v>
      </c>
      <c r="E96" s="8">
        <v>86</v>
      </c>
      <c r="F96" s="9">
        <v>510.81</v>
      </c>
      <c r="G96" s="10">
        <f>F96*E96</f>
        <v>43929.66</v>
      </c>
    </row>
    <row r="97" spans="2:7" x14ac:dyDescent="0.25">
      <c r="B97" s="8"/>
      <c r="C97" s="8"/>
      <c r="D97" s="8"/>
      <c r="E97" s="8"/>
      <c r="F97" s="9"/>
      <c r="G97" s="11"/>
    </row>
    <row r="98" spans="2:7" x14ac:dyDescent="0.25">
      <c r="B98" s="2" t="s">
        <v>5</v>
      </c>
      <c r="C98" s="2" t="s">
        <v>6</v>
      </c>
      <c r="D98" s="2" t="s">
        <v>2</v>
      </c>
      <c r="E98" s="2">
        <v>86</v>
      </c>
      <c r="F98" s="3">
        <v>465.36</v>
      </c>
      <c r="G98" s="4">
        <f>F98*E98</f>
        <v>40020.959999999999</v>
      </c>
    </row>
    <row r="99" spans="2:7" ht="15" customHeight="1" x14ac:dyDescent="0.25">
      <c r="B99" s="7" t="s">
        <v>8</v>
      </c>
      <c r="C99" s="7"/>
      <c r="D99" s="7"/>
      <c r="E99" s="7"/>
      <c r="F99" s="7"/>
      <c r="G99" s="5">
        <f>G94+G96+G98</f>
        <v>87056.450000000012</v>
      </c>
    </row>
    <row r="100" spans="2:7" x14ac:dyDescent="0.25">
      <c r="B100" s="14" t="s">
        <v>19</v>
      </c>
      <c r="C100" s="14"/>
      <c r="D100" s="14"/>
      <c r="E100" s="14"/>
      <c r="F100" s="14"/>
      <c r="G100" s="14"/>
    </row>
    <row r="101" spans="2:7" ht="15" customHeight="1" x14ac:dyDescent="0.25">
      <c r="B101" s="7" t="s">
        <v>20</v>
      </c>
      <c r="C101" s="7"/>
      <c r="D101" s="7"/>
      <c r="E101" s="7"/>
      <c r="F101" s="7"/>
      <c r="G101" s="7"/>
    </row>
    <row r="102" spans="2:7" ht="27" x14ac:dyDescent="0.25">
      <c r="B102" s="1" t="s">
        <v>9</v>
      </c>
      <c r="C102" s="1" t="s">
        <v>10</v>
      </c>
      <c r="D102" s="1" t="s">
        <v>11</v>
      </c>
      <c r="E102" s="1" t="s">
        <v>22</v>
      </c>
      <c r="F102" s="1" t="s">
        <v>13</v>
      </c>
      <c r="G102" s="1" t="s">
        <v>14</v>
      </c>
    </row>
    <row r="103" spans="2:7" x14ac:dyDescent="0.25">
      <c r="B103" s="8">
        <v>4</v>
      </c>
      <c r="C103" s="8" t="s">
        <v>1</v>
      </c>
      <c r="D103" s="8" t="s">
        <v>2</v>
      </c>
      <c r="E103" s="8">
        <v>8</v>
      </c>
      <c r="F103" s="9">
        <v>472.9</v>
      </c>
      <c r="G103" s="13">
        <f>F103*E103</f>
        <v>3783.2</v>
      </c>
    </row>
    <row r="104" spans="2:7" x14ac:dyDescent="0.25">
      <c r="B104" s="8"/>
      <c r="C104" s="8"/>
      <c r="D104" s="8"/>
      <c r="E104" s="8"/>
      <c r="F104" s="9"/>
      <c r="G104" s="8"/>
    </row>
    <row r="105" spans="2:7" x14ac:dyDescent="0.25">
      <c r="B105" s="8">
        <v>5</v>
      </c>
      <c r="C105" s="8" t="s">
        <v>4</v>
      </c>
      <c r="D105" s="8" t="s">
        <v>2</v>
      </c>
      <c r="E105" s="8">
        <v>86</v>
      </c>
      <c r="F105" s="9">
        <v>385.47</v>
      </c>
      <c r="G105" s="10">
        <f>F105*E105</f>
        <v>33150.420000000006</v>
      </c>
    </row>
    <row r="106" spans="2:7" x14ac:dyDescent="0.25">
      <c r="B106" s="8"/>
      <c r="C106" s="8"/>
      <c r="D106" s="8"/>
      <c r="E106" s="8"/>
      <c r="F106" s="9"/>
      <c r="G106" s="11"/>
    </row>
    <row r="107" spans="2:7" x14ac:dyDescent="0.25">
      <c r="B107" s="2">
        <v>6</v>
      </c>
      <c r="C107" s="2" t="s">
        <v>6</v>
      </c>
      <c r="D107" s="2" t="s">
        <v>2</v>
      </c>
      <c r="E107" s="2">
        <v>86</v>
      </c>
      <c r="F107" s="3">
        <v>385.47</v>
      </c>
      <c r="G107" s="4">
        <f>F107*E107</f>
        <v>33150.420000000006</v>
      </c>
    </row>
    <row r="108" spans="2:7" ht="15" customHeight="1" x14ac:dyDescent="0.25">
      <c r="B108" s="7" t="s">
        <v>8</v>
      </c>
      <c r="C108" s="7"/>
      <c r="D108" s="7"/>
      <c r="E108" s="7"/>
      <c r="F108" s="7"/>
      <c r="G108" s="5">
        <f>G103+G105+G107</f>
        <v>70084.040000000008</v>
      </c>
    </row>
    <row r="109" spans="2:7" x14ac:dyDescent="0.25">
      <c r="B109" s="18" t="s">
        <v>23</v>
      </c>
      <c r="C109" s="18"/>
      <c r="D109" s="18"/>
      <c r="E109" s="18"/>
      <c r="F109" s="18"/>
      <c r="G109" s="6">
        <f>G9+G18+G27+G36+G45+G54+G72+G81+G90+G99+G108+G63</f>
        <v>2122678.1500000004</v>
      </c>
    </row>
  </sheetData>
  <mergeCells count="181">
    <mergeCell ref="B109:F109"/>
    <mergeCell ref="F76:F77"/>
    <mergeCell ref="G76:G77"/>
    <mergeCell ref="G87:G88"/>
    <mergeCell ref="B82:G82"/>
    <mergeCell ref="B83:G83"/>
    <mergeCell ref="B85:B86"/>
    <mergeCell ref="C85:C86"/>
    <mergeCell ref="D85:D86"/>
    <mergeCell ref="E85:E86"/>
    <mergeCell ref="F85:F86"/>
    <mergeCell ref="G85:G86"/>
    <mergeCell ref="G96:G97"/>
    <mergeCell ref="B91:G91"/>
    <mergeCell ref="B92:G92"/>
    <mergeCell ref="B94:B95"/>
    <mergeCell ref="B6:B7"/>
    <mergeCell ref="C6:C7"/>
    <mergeCell ref="D6:D7"/>
    <mergeCell ref="E6:E7"/>
    <mergeCell ref="F6:F7"/>
    <mergeCell ref="G6:G7"/>
    <mergeCell ref="B1:G1"/>
    <mergeCell ref="B2:G2"/>
    <mergeCell ref="B4:B5"/>
    <mergeCell ref="C4:C5"/>
    <mergeCell ref="D4:D5"/>
    <mergeCell ref="E4:E5"/>
    <mergeCell ref="F4:F5"/>
    <mergeCell ref="G4:G5"/>
    <mergeCell ref="B15:B16"/>
    <mergeCell ref="C15:C16"/>
    <mergeCell ref="D15:D16"/>
    <mergeCell ref="E15:E16"/>
    <mergeCell ref="F15:F16"/>
    <mergeCell ref="G15:G16"/>
    <mergeCell ref="B10:G10"/>
    <mergeCell ref="B11:G11"/>
    <mergeCell ref="B13:B14"/>
    <mergeCell ref="C13:C14"/>
    <mergeCell ref="D13:D14"/>
    <mergeCell ref="E13:E14"/>
    <mergeCell ref="F13:F14"/>
    <mergeCell ref="G13:G14"/>
    <mergeCell ref="B24:B25"/>
    <mergeCell ref="C24:C25"/>
    <mergeCell ref="D24:D25"/>
    <mergeCell ref="E24:E25"/>
    <mergeCell ref="F24:F25"/>
    <mergeCell ref="G24:G25"/>
    <mergeCell ref="B19:G19"/>
    <mergeCell ref="B20:G20"/>
    <mergeCell ref="B22:B23"/>
    <mergeCell ref="C22:C23"/>
    <mergeCell ref="D22:D23"/>
    <mergeCell ref="E22:E23"/>
    <mergeCell ref="F22:F23"/>
    <mergeCell ref="G22:G23"/>
    <mergeCell ref="B33:B34"/>
    <mergeCell ref="C33:C34"/>
    <mergeCell ref="D33:D34"/>
    <mergeCell ref="E33:E34"/>
    <mergeCell ref="F33:F34"/>
    <mergeCell ref="G33:G34"/>
    <mergeCell ref="B28:G28"/>
    <mergeCell ref="B29:G29"/>
    <mergeCell ref="B31:B32"/>
    <mergeCell ref="C31:C32"/>
    <mergeCell ref="D31:D32"/>
    <mergeCell ref="E31:E32"/>
    <mergeCell ref="F31:F32"/>
    <mergeCell ref="G31:G32"/>
    <mergeCell ref="B42:B43"/>
    <mergeCell ref="C42:C43"/>
    <mergeCell ref="D42:D43"/>
    <mergeCell ref="E42:E43"/>
    <mergeCell ref="F42:F43"/>
    <mergeCell ref="G42:G43"/>
    <mergeCell ref="B37:G37"/>
    <mergeCell ref="B38:G38"/>
    <mergeCell ref="B40:B41"/>
    <mergeCell ref="C40:C41"/>
    <mergeCell ref="D40:D41"/>
    <mergeCell ref="E40:E41"/>
    <mergeCell ref="F40:F41"/>
    <mergeCell ref="G40:G41"/>
    <mergeCell ref="B51:B52"/>
    <mergeCell ref="C51:C52"/>
    <mergeCell ref="D51:D52"/>
    <mergeCell ref="E51:E52"/>
    <mergeCell ref="F51:F52"/>
    <mergeCell ref="G51:G52"/>
    <mergeCell ref="B46:G46"/>
    <mergeCell ref="B47:G47"/>
    <mergeCell ref="B49:B50"/>
    <mergeCell ref="C49:C50"/>
    <mergeCell ref="D49:D50"/>
    <mergeCell ref="E49:E50"/>
    <mergeCell ref="F49:F50"/>
    <mergeCell ref="G49:G50"/>
    <mergeCell ref="B60:B61"/>
    <mergeCell ref="C60:C61"/>
    <mergeCell ref="D60:D61"/>
    <mergeCell ref="E60:E61"/>
    <mergeCell ref="F60:F61"/>
    <mergeCell ref="G60:G61"/>
    <mergeCell ref="B55:G55"/>
    <mergeCell ref="B56:G56"/>
    <mergeCell ref="B58:B59"/>
    <mergeCell ref="C58:C59"/>
    <mergeCell ref="D58:D59"/>
    <mergeCell ref="E58:E59"/>
    <mergeCell ref="F58:F59"/>
    <mergeCell ref="G58:G59"/>
    <mergeCell ref="E69:E70"/>
    <mergeCell ref="F69:F70"/>
    <mergeCell ref="G69:G70"/>
    <mergeCell ref="B64:G64"/>
    <mergeCell ref="B65:G65"/>
    <mergeCell ref="B67:B68"/>
    <mergeCell ref="C67:C68"/>
    <mergeCell ref="D67:D68"/>
    <mergeCell ref="E67:E68"/>
    <mergeCell ref="F67:F68"/>
    <mergeCell ref="G67:G68"/>
    <mergeCell ref="G94:G95"/>
    <mergeCell ref="G105:G106"/>
    <mergeCell ref="B100:G100"/>
    <mergeCell ref="B101:G101"/>
    <mergeCell ref="B103:B104"/>
    <mergeCell ref="C103:C104"/>
    <mergeCell ref="D103:D104"/>
    <mergeCell ref="E103:E104"/>
    <mergeCell ref="F103:F104"/>
    <mergeCell ref="G103:G104"/>
    <mergeCell ref="B108:F108"/>
    <mergeCell ref="B99:F99"/>
    <mergeCell ref="B90:F90"/>
    <mergeCell ref="B81:F81"/>
    <mergeCell ref="B105:B106"/>
    <mergeCell ref="C105:C106"/>
    <mergeCell ref="D105:D106"/>
    <mergeCell ref="E105:E106"/>
    <mergeCell ref="F105:F106"/>
    <mergeCell ref="B96:B97"/>
    <mergeCell ref="C96:C97"/>
    <mergeCell ref="D96:D97"/>
    <mergeCell ref="E96:E97"/>
    <mergeCell ref="F96:F97"/>
    <mergeCell ref="B87:B88"/>
    <mergeCell ref="C87:C88"/>
    <mergeCell ref="D87:D88"/>
    <mergeCell ref="E87:E88"/>
    <mergeCell ref="F87:F88"/>
    <mergeCell ref="C94:C95"/>
    <mergeCell ref="D94:D95"/>
    <mergeCell ref="E94:E95"/>
    <mergeCell ref="F94:F95"/>
    <mergeCell ref="B18:F18"/>
    <mergeCell ref="B9:F9"/>
    <mergeCell ref="B72:F72"/>
    <mergeCell ref="B63:F63"/>
    <mergeCell ref="B54:F54"/>
    <mergeCell ref="B45:F45"/>
    <mergeCell ref="B36:F36"/>
    <mergeCell ref="B27:F27"/>
    <mergeCell ref="B78:B79"/>
    <mergeCell ref="C78:C79"/>
    <mergeCell ref="D78:D79"/>
    <mergeCell ref="E78:E79"/>
    <mergeCell ref="F78:F79"/>
    <mergeCell ref="G78:G79"/>
    <mergeCell ref="B73:G73"/>
    <mergeCell ref="B74:G74"/>
    <mergeCell ref="B76:B77"/>
    <mergeCell ref="C76:C77"/>
    <mergeCell ref="D76:D77"/>
    <mergeCell ref="E76:E77"/>
    <mergeCell ref="B69:B70"/>
    <mergeCell ref="C69:C70"/>
    <mergeCell ref="D69:D7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Nascimento Tomas</dc:creator>
  <cp:lastModifiedBy>Surya Caroline Da Cruz Vieira</cp:lastModifiedBy>
  <dcterms:created xsi:type="dcterms:W3CDTF">2025-06-27T12:38:53Z</dcterms:created>
  <dcterms:modified xsi:type="dcterms:W3CDTF">2026-01-28T15:09:48Z</dcterms:modified>
</cp:coreProperties>
</file>